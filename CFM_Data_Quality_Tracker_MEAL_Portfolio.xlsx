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aw_Data" sheetId="1" state="visible" r:id="rId3"/>
    <sheet name="Reference_Lists" sheetId="2" state="visible" r:id="rId4"/>
    <sheet name="Build_Spec" sheetId="3" state="visible" r:id="rId5"/>
    <sheet name="Data_Quality_Check" sheetId="4" state="visible" r:id="rId6"/>
    <sheet name="Clean_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<sst xmlns="http://schemas.openxmlformats.org/spreadsheetml/2006/main" count="5995" uniqueCount="785">
  <si>
    <t xml:space="preserve">Case_ID</t>
  </si>
  <si>
    <t xml:space="preserve">Date_Received</t>
  </si>
  <si>
    <t xml:space="preserve">Channel</t>
  </si>
  <si>
    <t xml:space="preserve">Location</t>
  </si>
  <si>
    <t xml:space="preserve">Sector</t>
  </si>
  <si>
    <t xml:space="preserve">Feedback_Type</t>
  </si>
  <si>
    <t xml:space="preserve">Sensitivity</t>
  </si>
  <si>
    <t xml:space="preserve">Gender</t>
  </si>
  <si>
    <t xml:space="preserve">Age_Group</t>
  </si>
  <si>
    <t xml:space="preserve">Status</t>
  </si>
  <si>
    <t xml:space="preserve">Date_Closed</t>
  </si>
  <si>
    <t xml:space="preserve">Feedback_Note</t>
  </si>
  <si>
    <t xml:space="preserve">CFM-2026-0367</t>
  </si>
  <si>
    <t xml:space="preserve">In-Person at Distribution</t>
  </si>
  <si>
    <t xml:space="preserve">Nuseirat</t>
  </si>
  <si>
    <t xml:space="preserve">Food Security</t>
  </si>
  <si>
    <t xml:space="preserve">Request for Information</t>
  </si>
  <si>
    <t xml:space="preserve">Non-Sensitive</t>
  </si>
  <si>
    <t xml:space="preserve">Female</t>
  </si>
  <si>
    <t xml:space="preserve">60+</t>
  </si>
  <si>
    <t xml:space="preserve">Closed</t>
  </si>
  <si>
    <t xml:space="preserve">CFM-2026-0154</t>
  </si>
  <si>
    <t xml:space="preserve">Phone Hotline</t>
  </si>
  <si>
    <t xml:space="preserve">Khan Yunis</t>
  </si>
  <si>
    <t xml:space="preserve">Complaint</t>
  </si>
  <si>
    <t xml:space="preserve">45-59</t>
  </si>
  <si>
    <t xml:space="preserve">Food parcel contents did not match the announced list.</t>
  </si>
  <si>
    <t xml:space="preserve">CFM-2026-0388</t>
  </si>
  <si>
    <t xml:space="preserve">Suggestion Box</t>
  </si>
  <si>
    <t xml:space="preserve">Shelter</t>
  </si>
  <si>
    <t xml:space="preserve">Suggestion</t>
  </si>
  <si>
    <t xml:space="preserve">CLOSED</t>
  </si>
  <si>
    <t xml:space="preserve">Tarpaulin received is torn and does not cover the shelter area.</t>
  </si>
  <si>
    <t xml:space="preserve">CFM-2026-0498</t>
  </si>
  <si>
    <t xml:space="preserve">22/02/2026</t>
  </si>
  <si>
    <t xml:space="preserve">Community Focal Point</t>
  </si>
  <si>
    <t xml:space="preserve">gaza city</t>
  </si>
  <si>
    <t xml:space="preserve">Health</t>
  </si>
  <si>
    <t xml:space="preserve">Sensitive Complaint</t>
  </si>
  <si>
    <t xml:space="preserve">Sensitive</t>
  </si>
  <si>
    <t xml:space="preserve">30-44</t>
  </si>
  <si>
    <t xml:space="preserve">Sensitive case - details recorded separately by the focal point; not stored in this tracker.</t>
  </si>
  <si>
    <t xml:space="preserve">CFM-2026-0041</t>
  </si>
  <si>
    <t xml:space="preserve">in-person at distribution</t>
  </si>
  <si>
    <t xml:space="preserve">deir al-balah</t>
  </si>
  <si>
    <t xml:space="preserve">Requesting information about the criteria for shelter repair kits.</t>
  </si>
  <si>
    <t xml:space="preserve">CFM-2026-0198</t>
  </si>
  <si>
    <t xml:space="preserve">nuseirat</t>
  </si>
  <si>
    <t xml:space="preserve">Appreciation</t>
  </si>
  <si>
    <t xml:space="preserve">Male</t>
  </si>
  <si>
    <t xml:space="preserve">CFM-2026-0459</t>
  </si>
  <si>
    <t xml:space="preserve">Deir al-Balah</t>
  </si>
  <si>
    <t xml:space="preserve">WASH</t>
  </si>
  <si>
    <t xml:space="preserve">18-29</t>
  </si>
  <si>
    <t xml:space="preserve">Requesting additional jerrycans for a shared shelter of four families.</t>
  </si>
  <si>
    <t xml:space="preserve">CFM-2026-0488</t>
  </si>
  <si>
    <t xml:space="preserve">Gaza City</t>
  </si>
  <si>
    <t xml:space="preserve">F</t>
  </si>
  <si>
    <t xml:space="preserve">Open</t>
  </si>
  <si>
    <t xml:space="preserve">Requesting a referral pathway for a family member with limited mobility.</t>
  </si>
  <si>
    <t xml:space="preserve">CFM-2026-0414</t>
  </si>
  <si>
    <t xml:space="preserve">Help Desk</t>
  </si>
  <si>
    <t xml:space="preserve">Gaza  City</t>
  </si>
  <si>
    <t xml:space="preserve">Asking how the beneficiary list for the next round is prepared.</t>
  </si>
  <si>
    <t xml:space="preserve">CFM-2026-0075</t>
  </si>
  <si>
    <t xml:space="preserve">Deir Al Balah</t>
  </si>
  <si>
    <t xml:space="preserve">Nutrition</t>
  </si>
  <si>
    <t xml:space="preserve">Requesting a screening session closer to the northern shelter.</t>
  </si>
  <si>
    <t xml:space="preserve">CFM-2026-0340</t>
  </si>
  <si>
    <t xml:space="preserve">Focal Point</t>
  </si>
  <si>
    <t xml:space="preserve">Jabalia</t>
  </si>
  <si>
    <t xml:space="preserve">closed</t>
  </si>
  <si>
    <t xml:space="preserve">Waiting time at the mobile clinic is long during afternoon hours.</t>
  </si>
  <si>
    <t xml:space="preserve">CFM-2026-0407</t>
  </si>
  <si>
    <t xml:space="preserve">21/07/2026</t>
  </si>
  <si>
    <t xml:space="preserve">CFM-2026-0403</t>
  </si>
  <si>
    <t xml:space="preserve">CFM-2026-0362</t>
  </si>
  <si>
    <t xml:space="preserve"> Male</t>
  </si>
  <si>
    <t xml:space="preserve">Thanking the team for organising the last distribution well.</t>
  </si>
  <si>
    <t xml:space="preserve">CFM-2026-0168</t>
  </si>
  <si>
    <t xml:space="preserve">M</t>
  </si>
  <si>
    <t xml:space="preserve">Under 18</t>
  </si>
  <si>
    <t xml:space="preserve">CFM-2026-0116</t>
  </si>
  <si>
    <t xml:space="preserve">In Progress</t>
  </si>
  <si>
    <t xml:space="preserve">CFM-2026-0018</t>
  </si>
  <si>
    <t xml:space="preserve">khan yunis</t>
  </si>
  <si>
    <t xml:space="preserve">Asking whether children above five are included in the screening.</t>
  </si>
  <si>
    <t xml:space="preserve">CFM-2026-0456</t>
  </si>
  <si>
    <t xml:space="preserve">Latrine at the site block needs cleaning and lighting at night.</t>
  </si>
  <si>
    <t xml:space="preserve">CFM-2026-0441</t>
  </si>
  <si>
    <t xml:space="preserve">CFM-2026-0010</t>
  </si>
  <si>
    <t xml:space="preserve">25/04/2026</t>
  </si>
  <si>
    <t xml:space="preserve">Khan Younis</t>
  </si>
  <si>
    <t xml:space="preserve">Female </t>
  </si>
  <si>
    <t xml:space="preserve">CFM-2026-0058</t>
  </si>
  <si>
    <t xml:space="preserve">Water truck did not arrive at the agreed time for three consecutive days.</t>
  </si>
  <si>
    <t xml:space="preserve">CFM-2026-0447</t>
  </si>
  <si>
    <t xml:space="preserve">The queue at the water point is not organised and older people cannot wait.</t>
  </si>
  <si>
    <t xml:space="preserve">CFM-2026-0091</t>
  </si>
  <si>
    <t xml:space="preserve">CFM-2026-0123</t>
  </si>
  <si>
    <t xml:space="preserve">Rafah</t>
  </si>
  <si>
    <t xml:space="preserve">CFM-2026-0322</t>
  </si>
  <si>
    <t xml:space="preserve">CFM-2026-0206</t>
  </si>
  <si>
    <t xml:space="preserve">Suggestion box </t>
  </si>
  <si>
    <t xml:space="preserve">Shelter kit delivered on time and the team explained the use clearly.</t>
  </si>
  <si>
    <t xml:space="preserve">CFM-2026-0359</t>
  </si>
  <si>
    <t xml:space="preserve">in progress</t>
  </si>
  <si>
    <t xml:space="preserve">CFM-2026-0377</t>
  </si>
  <si>
    <t xml:space="preserve">Referred</t>
  </si>
  <si>
    <t xml:space="preserve">CFM-2026-0401</t>
  </si>
  <si>
    <t xml:space="preserve">female</t>
  </si>
  <si>
    <t xml:space="preserve">In-Progress</t>
  </si>
  <si>
    <t xml:space="preserve">CFM-2026-0005</t>
  </si>
  <si>
    <t xml:space="preserve">Phone  Hotline</t>
  </si>
  <si>
    <t xml:space="preserve">Distribution point is far and transport cost is high for our family.</t>
  </si>
  <si>
    <t xml:space="preserve">CFM-2026-0406</t>
  </si>
  <si>
    <t xml:space="preserve">jabalia</t>
  </si>
  <si>
    <t xml:space="preserve">CFM-2026-0419</t>
  </si>
  <si>
    <t xml:space="preserve">CFM-2026-0302</t>
  </si>
  <si>
    <t xml:space="preserve">CFM-2026-0265</t>
  </si>
  <si>
    <t xml:space="preserve">CFM-2026-0249</t>
  </si>
  <si>
    <t xml:space="preserve">help desk</t>
  </si>
  <si>
    <t xml:space="preserve">CFM-2026-0390</t>
  </si>
  <si>
    <t xml:space="preserve">In Person at Distribution</t>
  </si>
  <si>
    <t xml:space="preserve">CFM-2026-0101</t>
  </si>
  <si>
    <t xml:space="preserve">prefer not to say</t>
  </si>
  <si>
    <t xml:space="preserve">CFM-2026-0290</t>
  </si>
  <si>
    <t xml:space="preserve">community focal point</t>
  </si>
  <si>
    <t xml:space="preserve">CFM-2026-0173</t>
  </si>
  <si>
    <t xml:space="preserve">open</t>
  </si>
  <si>
    <t xml:space="preserve">CFM-2026-0078</t>
  </si>
  <si>
    <t xml:space="preserve">suggestion box</t>
  </si>
  <si>
    <t xml:space="preserve">CFM-2026-0345</t>
  </si>
  <si>
    <t xml:space="preserve">CFM-2026-0435</t>
  </si>
  <si>
    <t xml:space="preserve">Closed </t>
  </si>
  <si>
    <t xml:space="preserve">CFM-2026-0252</t>
  </si>
  <si>
    <t xml:space="preserve">Supplement was received but the guidance sheet was in English only.</t>
  </si>
  <si>
    <t xml:space="preserve">CFM-2026-0260</t>
  </si>
  <si>
    <t xml:space="preserve">Hotline</t>
  </si>
  <si>
    <t xml:space="preserve">CFM-2026-0068</t>
  </si>
  <si>
    <t xml:space="preserve">05/05/2026</t>
  </si>
  <si>
    <t xml:space="preserve">CFM-2026-0454</t>
  </si>
  <si>
    <t xml:space="preserve">CFM-2026-0316</t>
  </si>
  <si>
    <t xml:space="preserve">CFM-2026-0055</t>
  </si>
  <si>
    <t xml:space="preserve">Clinic opening hours are not clear to the community.</t>
  </si>
  <si>
    <t xml:space="preserve">CFM-2026-0205</t>
  </si>
  <si>
    <t xml:space="preserve">CFM-2026-0125</t>
  </si>
  <si>
    <t xml:space="preserve">CFM-2026-0169</t>
  </si>
  <si>
    <t xml:space="preserve">CFM-2026-0405</t>
  </si>
  <si>
    <t xml:space="preserve">CFM-2026-0087</t>
  </si>
  <si>
    <t xml:space="preserve">male</t>
  </si>
  <si>
    <t xml:space="preserve">02/06/2026</t>
  </si>
  <si>
    <t xml:space="preserve">CFM-2026-0284</t>
  </si>
  <si>
    <t xml:space="preserve">CFM-2026-0384</t>
  </si>
  <si>
    <t xml:space="preserve">RAFAH</t>
  </si>
  <si>
    <t xml:space="preserve">CFM-2026-0017</t>
  </si>
  <si>
    <t xml:space="preserve">CFM-2026-0045</t>
  </si>
  <si>
    <t xml:space="preserve">Deir El-Balah</t>
  </si>
  <si>
    <t xml:space="preserve">CFM-2026-0244</t>
  </si>
  <si>
    <t xml:space="preserve"> Rafah</t>
  </si>
  <si>
    <t xml:space="preserve">CFM-2026-0135</t>
  </si>
  <si>
    <t xml:space="preserve">02/04/2026</t>
  </si>
  <si>
    <t xml:space="preserve">CFM-2026-0389</t>
  </si>
  <si>
    <t xml:space="preserve">CFM-2026-0333</t>
  </si>
  <si>
    <t xml:space="preserve">phone hotline</t>
  </si>
  <si>
    <t xml:space="preserve">CFM-2026-0132</t>
  </si>
  <si>
    <t xml:space="preserve">CFM-2026-0424</t>
  </si>
  <si>
    <t xml:space="preserve">CFM-2026-0073</t>
  </si>
  <si>
    <t xml:space="preserve">CFM-2026-0133</t>
  </si>
  <si>
    <t xml:space="preserve">rafah</t>
  </si>
  <si>
    <t xml:space="preserve">CFM-2026-0324</t>
  </si>
  <si>
    <t xml:space="preserve">CFM-2026-0207</t>
  </si>
  <si>
    <t xml:space="preserve">CFM-2026-0033</t>
  </si>
  <si>
    <t xml:space="preserve">CFM-2026-0113</t>
  </si>
  <si>
    <t xml:space="preserve">CFM-2026-0309</t>
  </si>
  <si>
    <t xml:space="preserve">CFM-2026-0467</t>
  </si>
  <si>
    <t xml:space="preserve">CFM-2026-0172</t>
  </si>
  <si>
    <t xml:space="preserve">CFM-2026-0180</t>
  </si>
  <si>
    <t xml:space="preserve">CFM-2026-0242</t>
  </si>
  <si>
    <t xml:space="preserve">Prefer not to say</t>
  </si>
  <si>
    <t xml:space="preserve">CFM-2026-0461</t>
  </si>
  <si>
    <t xml:space="preserve">CFM-2026-0044</t>
  </si>
  <si>
    <t xml:space="preserve">OPEN</t>
  </si>
  <si>
    <t xml:space="preserve">CFM-2026-0177</t>
  </si>
  <si>
    <t xml:space="preserve">CFM-2026-0365</t>
  </si>
  <si>
    <t xml:space="preserve">CFM-2026-0130</t>
  </si>
  <si>
    <t xml:space="preserve">CFM-2026-0278</t>
  </si>
  <si>
    <t xml:space="preserve">CFM-2026-0209</t>
  </si>
  <si>
    <t xml:space="preserve">CFM-2026-0379</t>
  </si>
  <si>
    <t xml:space="preserve">CFM-2026-0293</t>
  </si>
  <si>
    <t xml:space="preserve">CFM-2026-0013</t>
  </si>
  <si>
    <t xml:space="preserve">CFM-2026-0234</t>
  </si>
  <si>
    <t xml:space="preserve">Help Desk </t>
  </si>
  <si>
    <t xml:space="preserve">CFM-2026-0040</t>
  </si>
  <si>
    <t xml:space="preserve">CFM-2026-0383</t>
  </si>
  <si>
    <t xml:space="preserve">CFM-2026-0306</t>
  </si>
  <si>
    <t xml:space="preserve">CFM-2026-0280</t>
  </si>
  <si>
    <t xml:space="preserve">CFM-2026-0089</t>
  </si>
  <si>
    <t xml:space="preserve">CFM-2026-0114</t>
  </si>
  <si>
    <t xml:space="preserve">CFM-2026-0366</t>
  </si>
  <si>
    <t xml:space="preserve">CFM-2026-0127</t>
  </si>
  <si>
    <t xml:space="preserve">CFM-2026-0319</t>
  </si>
  <si>
    <t xml:space="preserve">HELP DESK</t>
  </si>
  <si>
    <t xml:space="preserve">Jabaliya</t>
  </si>
  <si>
    <t xml:space="preserve">CFM-2026-0112</t>
  </si>
  <si>
    <t xml:space="preserve">Helpdesk</t>
  </si>
  <si>
    <t xml:space="preserve">CFM-2026-0364</t>
  </si>
  <si>
    <t xml:space="preserve">CFM-2026-0048</t>
  </si>
  <si>
    <t xml:space="preserve">CFM-2026-0222</t>
  </si>
  <si>
    <t xml:space="preserve">CFM-2026-0404</t>
  </si>
  <si>
    <t xml:space="preserve">CFM-2026-0429</t>
  </si>
  <si>
    <t xml:space="preserve">CFM-2026-0182</t>
  </si>
  <si>
    <t xml:space="preserve">CFM-2026-0211</t>
  </si>
  <si>
    <t xml:space="preserve">referred</t>
  </si>
  <si>
    <t xml:space="preserve">CFM-2026-0080</t>
  </si>
  <si>
    <t xml:space="preserve">Al-Nuseirat</t>
  </si>
  <si>
    <t xml:space="preserve">CFM-2026-0201</t>
  </si>
  <si>
    <t xml:space="preserve">CFM-2026-0019</t>
  </si>
  <si>
    <t xml:space="preserve">CFM-2026-0281</t>
  </si>
  <si>
    <t xml:space="preserve">CFM-2026-0344</t>
  </si>
  <si>
    <t xml:space="preserve">CFM-2026-0006</t>
  </si>
  <si>
    <t xml:space="preserve">CFM-2026-0219</t>
  </si>
  <si>
    <t xml:space="preserve">CFM-2026-0493</t>
  </si>
  <si>
    <t xml:space="preserve">CFM-2026-0267</t>
  </si>
  <si>
    <t xml:space="preserve">CFM-2026-0069</t>
  </si>
  <si>
    <t xml:space="preserve">CFM-2026-0214</t>
  </si>
  <si>
    <t xml:space="preserve">22/04/2026</t>
  </si>
  <si>
    <t xml:space="preserve">CFM-2026-0321</t>
  </si>
  <si>
    <t xml:space="preserve">CFM-2026-0468</t>
  </si>
  <si>
    <t xml:space="preserve">CFM-2026-0475</t>
  </si>
  <si>
    <t xml:space="preserve">CFM-2026-0254</t>
  </si>
  <si>
    <t xml:space="preserve">CFM-2026-0140</t>
  </si>
  <si>
    <t xml:space="preserve">CFM-2026-0179</t>
  </si>
  <si>
    <t xml:space="preserve">CFM-2026-0241</t>
  </si>
  <si>
    <t xml:space="preserve">CFM-2026-0357</t>
  </si>
  <si>
    <t xml:space="preserve">CFM-2026-0411</t>
  </si>
  <si>
    <t xml:space="preserve">CFM-2026-0457</t>
  </si>
  <si>
    <t xml:space="preserve">CFM-2026-0400</t>
  </si>
  <si>
    <t xml:space="preserve">CFM-2026-0263</t>
  </si>
  <si>
    <t xml:space="preserve">CFM-2026-0160</t>
  </si>
  <si>
    <t xml:space="preserve">CFM-2026-0063</t>
  </si>
  <si>
    <t xml:space="preserve">CFM-2026-0327</t>
  </si>
  <si>
    <t xml:space="preserve">CFM-2026-0188</t>
  </si>
  <si>
    <t xml:space="preserve">CFM-2026-0098</t>
  </si>
  <si>
    <t xml:space="preserve">CFM-2026-0054</t>
  </si>
  <si>
    <t xml:space="preserve">CFM-2026-0463</t>
  </si>
  <si>
    <t xml:space="preserve">CFM-2026-0408</t>
  </si>
  <si>
    <t xml:space="preserve">26/04/2026</t>
  </si>
  <si>
    <t xml:space="preserve">CFM-2026-0323</t>
  </si>
  <si>
    <t xml:space="preserve">CFM-2026-0477</t>
  </si>
  <si>
    <t xml:space="preserve">CFM-2026-0196</t>
  </si>
  <si>
    <t xml:space="preserve">CFM-2026-0194</t>
  </si>
  <si>
    <t xml:space="preserve">CFM-2026-0291</t>
  </si>
  <si>
    <t xml:space="preserve">CFM-2026-0339</t>
  </si>
  <si>
    <t xml:space="preserve">CFM-2026-0225</t>
  </si>
  <si>
    <t xml:space="preserve">CFM-2026-0104</t>
  </si>
  <si>
    <t xml:space="preserve">CFM-2026-0145</t>
  </si>
  <si>
    <t xml:space="preserve">CFM-2026-0453</t>
  </si>
  <si>
    <t xml:space="preserve">CFM-2026-0478</t>
  </si>
  <si>
    <t xml:space="preserve">CFM-2026-0361</t>
  </si>
  <si>
    <t xml:space="preserve">CFM-2026-0289</t>
  </si>
  <si>
    <t xml:space="preserve">CFM-2026-0230</t>
  </si>
  <si>
    <t xml:space="preserve">CFM-2026-0370</t>
  </si>
  <si>
    <t xml:space="preserve">CFM-2026-0337</t>
  </si>
  <si>
    <t xml:space="preserve">CFM-2026-0163</t>
  </si>
  <si>
    <t xml:space="preserve">CFM-2026-0328</t>
  </si>
  <si>
    <t xml:space="preserve">Khan Yunis </t>
  </si>
  <si>
    <t xml:space="preserve">CFM-2026-0121</t>
  </si>
  <si>
    <t xml:space="preserve">17/04/2026</t>
  </si>
  <si>
    <t xml:space="preserve">CFM-2026-0482</t>
  </si>
  <si>
    <t xml:space="preserve">CFM-2026-0355</t>
  </si>
  <si>
    <t xml:space="preserve">CFM-2026-0189</t>
  </si>
  <si>
    <t xml:space="preserve">CFM-2026-0110</t>
  </si>
  <si>
    <t xml:space="preserve">21/01/2026</t>
  </si>
  <si>
    <t xml:space="preserve">CFM-2026-0149</t>
  </si>
  <si>
    <t xml:space="preserve">CFM-2026-0195</t>
  </si>
  <si>
    <t xml:space="preserve">CFM-2026-0027</t>
  </si>
  <si>
    <t xml:space="preserve">CFM-2026-0499</t>
  </si>
  <si>
    <t xml:space="preserve">CFM-2026-0032</t>
  </si>
  <si>
    <t xml:space="preserve">CFM-2026-0184</t>
  </si>
  <si>
    <t xml:space="preserve">CFM-2026-0332</t>
  </si>
  <si>
    <t xml:space="preserve">CFM-2026-0246</t>
  </si>
  <si>
    <t xml:space="preserve">CFM-2026-0118</t>
  </si>
  <si>
    <t xml:space="preserve">CFM-2026-0183</t>
  </si>
  <si>
    <t xml:space="preserve">CFM-2026-0049</t>
  </si>
  <si>
    <t xml:space="preserve">CFM-2026-0469</t>
  </si>
  <si>
    <t xml:space="preserve">CFM-2026-0081</t>
  </si>
  <si>
    <t xml:space="preserve">CFM-2026-0450</t>
  </si>
  <si>
    <t xml:space="preserve">CFM-2026-0449</t>
  </si>
  <si>
    <t xml:space="preserve">20/06/2026</t>
  </si>
  <si>
    <t xml:space="preserve">CFM-2026-0338</t>
  </si>
  <si>
    <t xml:space="preserve">CFM-2026-0335</t>
  </si>
  <si>
    <t xml:space="preserve">CFM-2026-0162</t>
  </si>
  <si>
    <t xml:space="preserve">CFM-2026-0030</t>
  </si>
  <si>
    <t xml:space="preserve">CFM-2026-0259</t>
  </si>
  <si>
    <t xml:space="preserve">CFM-2026-0208</t>
  </si>
  <si>
    <t xml:space="preserve">CFM-2026-0109</t>
  </si>
  <si>
    <t xml:space="preserve">CFM-2026-0020</t>
  </si>
  <si>
    <t xml:space="preserve">CFM-2026-0472</t>
  </si>
  <si>
    <t xml:space="preserve">CFM-2026-0136</t>
  </si>
  <si>
    <t xml:space="preserve">CFM-2026-0221</t>
  </si>
  <si>
    <t xml:space="preserve">CFM-2026-0350</t>
  </si>
  <si>
    <t xml:space="preserve">CFM-2026-0062</t>
  </si>
  <si>
    <t xml:space="preserve">CFM-2026-0213</t>
  </si>
  <si>
    <t xml:space="preserve">CFM-2026-0443</t>
  </si>
  <si>
    <t xml:space="preserve">CFM-2026-0415</t>
  </si>
  <si>
    <t xml:space="preserve">30/03/2026</t>
  </si>
  <si>
    <t xml:space="preserve">CFM-2026-0106</t>
  </si>
  <si>
    <t xml:space="preserve">CFM-2026-0197</t>
  </si>
  <si>
    <t xml:space="preserve">CFM-2026-0409</t>
  </si>
  <si>
    <t xml:space="preserve">CFM-2026-0034</t>
  </si>
  <si>
    <t xml:space="preserve">CFM-2026-0090</t>
  </si>
  <si>
    <t xml:space="preserve">CFM-2026-0470</t>
  </si>
  <si>
    <t xml:space="preserve">CFM-2026-0076</t>
  </si>
  <si>
    <t xml:space="preserve">CFM-2026-0155</t>
  </si>
  <si>
    <t xml:space="preserve">CFM-2026-0037</t>
  </si>
  <si>
    <t xml:space="preserve">CFM-2026-0381</t>
  </si>
  <si>
    <t xml:space="preserve">CFM-2026-0158</t>
  </si>
  <si>
    <t xml:space="preserve">CFM-2026-0270</t>
  </si>
  <si>
    <t xml:space="preserve">CFM-2026-0483</t>
  </si>
  <si>
    <t xml:space="preserve">CFM-2026-0036</t>
  </si>
  <si>
    <t xml:space="preserve">CFM-2026-0143</t>
  </si>
  <si>
    <t xml:space="preserve">CFM-2026-0386</t>
  </si>
  <si>
    <t xml:space="preserve">CFM-2026-0368</t>
  </si>
  <si>
    <t xml:space="preserve">CFM-2026-0288</t>
  </si>
  <si>
    <t xml:space="preserve">CFM-2026-0295</t>
  </si>
  <si>
    <t xml:space="preserve">CFM-2026-0008</t>
  </si>
  <si>
    <t xml:space="preserve">CFM-2026-0107</t>
  </si>
  <si>
    <t xml:space="preserve">CFM-2026-0307</t>
  </si>
  <si>
    <t xml:space="preserve">CFM-2026-0451</t>
  </si>
  <si>
    <t xml:space="preserve">CFM-2026-0269</t>
  </si>
  <si>
    <t xml:space="preserve">CFM-2026-0139</t>
  </si>
  <si>
    <t xml:space="preserve">CFM-2026-0297</t>
  </si>
  <si>
    <t xml:space="preserve">CFM-2026-0374</t>
  </si>
  <si>
    <t xml:space="preserve">CFM-2026-0227</t>
  </si>
  <si>
    <t xml:space="preserve">CFM-2026-0426</t>
  </si>
  <si>
    <t xml:space="preserve">CFM-2026-0331</t>
  </si>
  <si>
    <t xml:space="preserve">CFM-2026-0099</t>
  </si>
  <si>
    <t xml:space="preserve">CFM-2026-0300</t>
  </si>
  <si>
    <t xml:space="preserve">CFM-2026-0202</t>
  </si>
  <si>
    <t xml:space="preserve">CFM-2026-0376</t>
  </si>
  <si>
    <t xml:space="preserve">CFM-2026-0395</t>
  </si>
  <si>
    <t xml:space="preserve">CFM-2026-0161</t>
  </si>
  <si>
    <t xml:space="preserve">CFM-2026-0271</t>
  </si>
  <si>
    <t xml:space="preserve">CFM-2026-0070</t>
  </si>
  <si>
    <t xml:space="preserve">CFM-2026-0465</t>
  </si>
  <si>
    <t xml:space="preserve">CFM-2026-0060</t>
  </si>
  <si>
    <t xml:space="preserve">CFM-2026-0285</t>
  </si>
  <si>
    <t xml:space="preserve">CFM-2026-0124</t>
  </si>
  <si>
    <t xml:space="preserve">CFM-2026-0203</t>
  </si>
  <si>
    <t xml:space="preserve">14/06/2026</t>
  </si>
  <si>
    <t xml:space="preserve">CFM-2026-0247</t>
  </si>
  <si>
    <t xml:space="preserve">CFM-2026-0375</t>
  </si>
  <si>
    <t xml:space="preserve">CFM-2026-0216</t>
  </si>
  <si>
    <t xml:space="preserve">CFM-2026-0274</t>
  </si>
  <si>
    <t xml:space="preserve">CFM-2026-0100</t>
  </si>
  <si>
    <t xml:space="preserve">CFM-2026-0402</t>
  </si>
  <si>
    <t xml:space="preserve">CFM-2026-0479</t>
  </si>
  <si>
    <t xml:space="preserve">CFM-2026-0023</t>
  </si>
  <si>
    <t xml:space="preserve">CFM-2026-0423</t>
  </si>
  <si>
    <t xml:space="preserve">04/05/2026</t>
  </si>
  <si>
    <t xml:space="preserve">CFM-2026-0095</t>
  </si>
  <si>
    <t xml:space="preserve">CFM-2026-0014</t>
  </si>
  <si>
    <t xml:space="preserve">CFM-2026-0308</t>
  </si>
  <si>
    <t xml:space="preserve">CFM-2026-0047</t>
  </si>
  <si>
    <t xml:space="preserve">26/03/2026</t>
  </si>
  <si>
    <t xml:space="preserve">CFM-2026-0430</t>
  </si>
  <si>
    <t xml:space="preserve">CFM-2026-0022</t>
  </si>
  <si>
    <t xml:space="preserve">CFM-2026-0218</t>
  </si>
  <si>
    <t xml:space="preserve">CFM-2026-0193</t>
  </si>
  <si>
    <t xml:space="preserve">17/03/2026</t>
  </si>
  <si>
    <t xml:space="preserve">CFM-2026-0378</t>
  </si>
  <si>
    <t xml:space="preserve">CFM-2026-0016</t>
  </si>
  <si>
    <t xml:space="preserve">CFM-2026-0490</t>
  </si>
  <si>
    <t xml:space="preserve">CFM-2026-0422</t>
  </si>
  <si>
    <t xml:space="preserve">CFM-2026-0358</t>
  </si>
  <si>
    <t xml:space="preserve">CFM-2026-0294</t>
  </si>
  <si>
    <t xml:space="preserve">CFM-2026-0448</t>
  </si>
  <si>
    <t xml:space="preserve">CFM-2026-0153</t>
  </si>
  <si>
    <t xml:space="preserve">CFM-2026-0038</t>
  </si>
  <si>
    <t xml:space="preserve">CFM-2026-0157</t>
  </si>
  <si>
    <t xml:space="preserve">CFM-2026-0445</t>
  </si>
  <si>
    <t xml:space="preserve">CFM-2026-0175</t>
  </si>
  <si>
    <t xml:space="preserve">CFM-2026-0156</t>
  </si>
  <si>
    <t xml:space="preserve">CFM-2026-0341</t>
  </si>
  <si>
    <t xml:space="preserve">CFM-2026-0159</t>
  </si>
  <si>
    <t xml:space="preserve">CFM-2026-0079</t>
  </si>
  <si>
    <t xml:space="preserve">CFM-2026-0084</t>
  </si>
  <si>
    <t xml:space="preserve">CFM-2026-0204</t>
  </si>
  <si>
    <t xml:space="preserve">CFM-2026-0330</t>
  </si>
  <si>
    <t xml:space="preserve">CFM-2026-0420</t>
  </si>
  <si>
    <t xml:space="preserve">CFM-2026-0347</t>
  </si>
  <si>
    <t xml:space="preserve">CFM-2026-0464</t>
  </si>
  <si>
    <t xml:space="preserve">CFM-2026-0317</t>
  </si>
  <si>
    <t xml:space="preserve">CFM-2026-0480</t>
  </si>
  <si>
    <t xml:space="preserve">CFM-2026-0148</t>
  </si>
  <si>
    <t xml:space="preserve">CFM-2026-0042</t>
  </si>
  <si>
    <t xml:space="preserve">CFM-2026-0343</t>
  </si>
  <si>
    <t xml:space="preserve">CFM-2026-0028</t>
  </si>
  <si>
    <t xml:space="preserve">CFM-2026-0354</t>
  </si>
  <si>
    <t xml:space="preserve">29/03/2026</t>
  </si>
  <si>
    <t xml:space="preserve">CFM-2026-0237</t>
  </si>
  <si>
    <t xml:space="preserve">CFM-2026-0393</t>
  </si>
  <si>
    <t xml:space="preserve">CFM-2026-0220</t>
  </si>
  <si>
    <t xml:space="preserve">CFM-2026-0138</t>
  </si>
  <si>
    <t xml:space="preserve">CFM-2026-0171</t>
  </si>
  <si>
    <t xml:space="preserve">CFM-2026-0250</t>
  </si>
  <si>
    <t xml:space="preserve">CFM-2026-0363</t>
  </si>
  <si>
    <t xml:space="preserve">CFM-2026-0190</t>
  </si>
  <si>
    <t xml:space="preserve">CFM-2026-0050</t>
  </si>
  <si>
    <t xml:space="preserve">CFM-2026-0052</t>
  </si>
  <si>
    <t xml:space="preserve">CFM-2026-0243</t>
  </si>
  <si>
    <t xml:space="preserve">CFM-2026-0413</t>
  </si>
  <si>
    <t xml:space="preserve">CFM-2026-0421</t>
  </si>
  <si>
    <t xml:space="preserve">CFM-2026-0416</t>
  </si>
  <si>
    <t xml:space="preserve">CFM-2026-0394</t>
  </si>
  <si>
    <t xml:space="preserve">CFM-2026-0303</t>
  </si>
  <si>
    <t xml:space="preserve">CFM-2026-0489</t>
  </si>
  <si>
    <t xml:space="preserve">28/03/2026</t>
  </si>
  <si>
    <t xml:space="preserve">CFM-2026-0458</t>
  </si>
  <si>
    <t xml:space="preserve">CFM-2026-0425</t>
  </si>
  <si>
    <t xml:space="preserve">CFM-2026-0352</t>
  </si>
  <si>
    <t xml:space="preserve">CFM-2026-0460</t>
  </si>
  <si>
    <t xml:space="preserve">CFM-2026-0311</t>
  </si>
  <si>
    <t xml:space="preserve">CFM-2026-0466</t>
  </si>
  <si>
    <t xml:space="preserve">CFM-2026-0009</t>
  </si>
  <si>
    <t xml:space="preserve">CFM-2026-0399</t>
  </si>
  <si>
    <t xml:space="preserve">CFM-2026-0251</t>
  </si>
  <si>
    <t xml:space="preserve">CFM-2026-0431</t>
  </si>
  <si>
    <t xml:space="preserve">CFM-2026-0240</t>
  </si>
  <si>
    <t xml:space="preserve">CFM-2026-0176</t>
  </si>
  <si>
    <t xml:space="preserve">CFM-2026-0035</t>
  </si>
  <si>
    <t xml:space="preserve">CFM-2026-0491</t>
  </si>
  <si>
    <t xml:space="preserve">CFM-2026-0129</t>
  </si>
  <si>
    <t xml:space="preserve">CFM-2026-0239</t>
  </si>
  <si>
    <t xml:space="preserve">CFM-2026-0223</t>
  </si>
  <si>
    <t xml:space="preserve">CFM-2026-0334</t>
  </si>
  <si>
    <t xml:space="preserve">CFM-2026-0128</t>
  </si>
  <si>
    <t xml:space="preserve">CFM-2026-0071</t>
  </si>
  <si>
    <t xml:space="preserve">CFM-2026-0085</t>
  </si>
  <si>
    <t xml:space="preserve">CFM-2026-0436</t>
  </si>
  <si>
    <t xml:space="preserve">CFM-2026-0004</t>
  </si>
  <si>
    <t xml:space="preserve">CFM-2026-0391</t>
  </si>
  <si>
    <t xml:space="preserve">CFM-2026-0031</t>
  </si>
  <si>
    <t xml:space="preserve">CFM-2026-0336</t>
  </si>
  <si>
    <t xml:space="preserve">CFM-2026-0096</t>
  </si>
  <si>
    <t xml:space="preserve">CFM-2026-0264</t>
  </si>
  <si>
    <t xml:space="preserve">CFM-2026-0392</t>
  </si>
  <si>
    <t xml:space="preserve">CFM-2026-0192</t>
  </si>
  <si>
    <t xml:space="preserve">CFM-2026-0236</t>
  </si>
  <si>
    <t xml:space="preserve">CFM-2026-0164</t>
  </si>
  <si>
    <t xml:space="preserve">CFM-2026-0310</t>
  </si>
  <si>
    <t xml:space="preserve">CFM-2026-0486</t>
  </si>
  <si>
    <t xml:space="preserve">CFM-2026-0372</t>
  </si>
  <si>
    <t xml:space="preserve">CFM-2026-0235</t>
  </si>
  <si>
    <t xml:space="preserve">CFM-2026-0021</t>
  </si>
  <si>
    <t xml:space="preserve">CFM-2026-0200</t>
  </si>
  <si>
    <t xml:space="preserve">CFM-2026-0111</t>
  </si>
  <si>
    <t xml:space="preserve">CFM-2026-0134</t>
  </si>
  <si>
    <t xml:space="preserve">CFM-2026-0301</t>
  </si>
  <si>
    <t xml:space="preserve">CFM-2026-0061</t>
  </si>
  <si>
    <t xml:space="preserve">CFM-2026-0279</t>
  </si>
  <si>
    <t xml:space="preserve">CFM-2026-0272</t>
  </si>
  <si>
    <t xml:space="preserve">CFM-2026-0088</t>
  </si>
  <si>
    <t xml:space="preserve">CFM-2026-0046</t>
  </si>
  <si>
    <t xml:space="preserve">CFM-2026-0444</t>
  </si>
  <si>
    <t xml:space="preserve">CFM-2026-0093</t>
  </si>
  <si>
    <t xml:space="preserve">CFM-2026-0215</t>
  </si>
  <si>
    <t xml:space="preserve">CFM-2026-0053</t>
  </si>
  <si>
    <t xml:space="preserve">CFM-2026-0452</t>
  </si>
  <si>
    <t xml:space="preserve">CFM-2026-0305</t>
  </si>
  <si>
    <t xml:space="preserve">CFM-2026-0059</t>
  </si>
  <si>
    <t xml:space="preserve">CFM-2026-0126</t>
  </si>
  <si>
    <t xml:space="preserve">CFM-2026-0024</t>
  </si>
  <si>
    <t xml:space="preserve">CFM-2026-0298</t>
  </si>
  <si>
    <t xml:space="preserve">CFM-2026-0226</t>
  </si>
  <si>
    <t xml:space="preserve">CFM-2026-0144</t>
  </si>
  <si>
    <t xml:space="preserve">CFM-2026-0471</t>
  </si>
  <si>
    <t xml:space="preserve">CFM-2026-0485</t>
  </si>
  <si>
    <t xml:space="preserve">CFM-2026-0299</t>
  </si>
  <si>
    <t xml:space="preserve">CFM-2026-0277</t>
  </si>
  <si>
    <t xml:space="preserve">CFM-2026-0326</t>
  </si>
  <si>
    <t xml:space="preserve">CFM-2026-0011</t>
  </si>
  <si>
    <t xml:space="preserve">CFM-2026-0210</t>
  </si>
  <si>
    <t xml:space="preserve">CFM-2026-0397</t>
  </si>
  <si>
    <t xml:space="preserve">CFM-2026-0315</t>
  </si>
  <si>
    <t xml:space="preserve">CFM-2026-0292</t>
  </si>
  <si>
    <t xml:space="preserve">CFM-2026-0304</t>
  </si>
  <si>
    <t xml:space="preserve">CFM-2026-0122</t>
  </si>
  <si>
    <t xml:space="preserve">CFM-2026-0253</t>
  </si>
  <si>
    <t xml:space="preserve">CFM-2026-0369</t>
  </si>
  <si>
    <t xml:space="preserve">CFM-2026-0224</t>
  </si>
  <si>
    <t xml:space="preserve">CFM-2026-0191</t>
  </si>
  <si>
    <t xml:space="preserve">CFM-2026-0318</t>
  </si>
  <si>
    <t xml:space="preserve">CFM-2026-0233</t>
  </si>
  <si>
    <t xml:space="preserve">CFM-2026-0039</t>
  </si>
  <si>
    <t xml:space="preserve">CFM-2026-0057</t>
  </si>
  <si>
    <t xml:space="preserve">CFM-2026-0325</t>
  </si>
  <si>
    <t xml:space="preserve">CFM-2026-0150</t>
  </si>
  <si>
    <t xml:space="preserve">CFM-2026-0427</t>
  </si>
  <si>
    <t xml:space="preserve">CFM-2026-0015</t>
  </si>
  <si>
    <t xml:space="preserve">CFM-2026-0455</t>
  </si>
  <si>
    <t xml:space="preserve">CFM-2026-0131</t>
  </si>
  <si>
    <t xml:space="preserve">CFM-2026-0072</t>
  </si>
  <si>
    <t xml:space="preserve">CFM-2026-0387</t>
  </si>
  <si>
    <t xml:space="preserve">CFM-2026-0147</t>
  </si>
  <si>
    <t xml:space="preserve">CFM-2026-0228</t>
  </si>
  <si>
    <t xml:space="preserve">CFM-2026-0312</t>
  </si>
  <si>
    <t xml:space="preserve">CFM-2026-0167</t>
  </si>
  <si>
    <t xml:space="preserve">CFM-2026-0398</t>
  </si>
  <si>
    <t xml:space="preserve">CFM-2026-0185</t>
  </si>
  <si>
    <t xml:space="preserve">CFM-2026-0275</t>
  </si>
  <si>
    <t xml:space="preserve">CFM-2026-0360</t>
  </si>
  <si>
    <t xml:space="preserve">CFM-2026-0476</t>
  </si>
  <si>
    <t xml:space="preserve">CFM-2026-0165</t>
  </si>
  <si>
    <t xml:space="preserve">CFM-2026-0229</t>
  </si>
  <si>
    <t xml:space="preserve">CFM-2026-0077</t>
  </si>
  <si>
    <t xml:space="preserve">12/02/2026</t>
  </si>
  <si>
    <t xml:space="preserve">CFM-2026-0446</t>
  </si>
  <si>
    <t xml:space="preserve">CFM-2026-0286</t>
  </si>
  <si>
    <t xml:space="preserve">CFM-2026-0257</t>
  </si>
  <si>
    <t xml:space="preserve">CFM-2026-0484</t>
  </si>
  <si>
    <t xml:space="preserve">CFM-2026-0117</t>
  </si>
  <si>
    <t xml:space="preserve">CFM-2026-0120</t>
  </si>
  <si>
    <t xml:space="preserve">CFM-2026-0346</t>
  </si>
  <si>
    <t xml:space="preserve">CFM-2026-0186</t>
  </si>
  <si>
    <t xml:space="preserve">CFM-2026-0146</t>
  </si>
  <si>
    <t xml:space="preserve">CFM-2026-0487</t>
  </si>
  <si>
    <t xml:space="preserve">CFM-2026-0245</t>
  </si>
  <si>
    <t xml:space="preserve">CFM-2026-0001</t>
  </si>
  <si>
    <t xml:space="preserve">CFM-2026-0178</t>
  </si>
  <si>
    <t xml:space="preserve">04/04/2026</t>
  </si>
  <si>
    <t xml:space="preserve">CFM-2026-0105</t>
  </si>
  <si>
    <t xml:space="preserve">CFM-2026-0151</t>
  </si>
  <si>
    <t xml:space="preserve">CFM-2026-0152</t>
  </si>
  <si>
    <t xml:space="preserve">CFM-2026-0283</t>
  </si>
  <si>
    <t xml:space="preserve">CFM-2026-0385</t>
  </si>
  <si>
    <t xml:space="preserve">CFM-2026-0418</t>
  </si>
  <si>
    <t xml:space="preserve">CFM-2026-0351</t>
  </si>
  <si>
    <t xml:space="preserve">CFM-2026-0119</t>
  </si>
  <si>
    <t xml:space="preserve">CFM-2026-0255</t>
  </si>
  <si>
    <t xml:space="preserve">CFM-2026-0074</t>
  </si>
  <si>
    <t xml:space="preserve">CFM-2026-0086</t>
  </si>
  <si>
    <t xml:space="preserve">CFM-2026-0495</t>
  </si>
  <si>
    <t xml:space="preserve">CFM-2026-0356</t>
  </si>
  <si>
    <t xml:space="preserve">CFM-2026-0103</t>
  </si>
  <si>
    <t xml:space="preserve">CFM-2026-0380</t>
  </si>
  <si>
    <t xml:space="preserve">CFM-2026-0166</t>
  </si>
  <si>
    <t xml:space="preserve">CFM-2026-0029</t>
  </si>
  <si>
    <t xml:space="preserve">CFM-2026-0115</t>
  </si>
  <si>
    <t xml:space="preserve">CFM-2026-0268</t>
  </si>
  <si>
    <t xml:space="preserve">CFM-2026-0417</t>
  </si>
  <si>
    <t xml:space="preserve">CFM-2026-0002</t>
  </si>
  <si>
    <t xml:space="preserve">CFM-2026-0025</t>
  </si>
  <si>
    <t xml:space="preserve">CFM-2026-0082</t>
  </si>
  <si>
    <t xml:space="preserve">CFM-2026-0320</t>
  </si>
  <si>
    <t xml:space="preserve">CFM-2026-0342</t>
  </si>
  <si>
    <t xml:space="preserve">CFM-2026-0142</t>
  </si>
  <si>
    <t xml:space="preserve">23/03/2026</t>
  </si>
  <si>
    <t xml:space="preserve">CFM-2026-0396</t>
  </si>
  <si>
    <t xml:space="preserve">CFM-2026-0248</t>
  </si>
  <si>
    <t xml:space="preserve">CFM-2026-0440</t>
  </si>
  <si>
    <t xml:space="preserve">CFM-2026-0481</t>
  </si>
  <si>
    <t xml:space="preserve">CFM-2026-0434</t>
  </si>
  <si>
    <t xml:space="preserve">CFM-2026-0258</t>
  </si>
  <si>
    <t xml:space="preserve">CFM-2026-0261</t>
  </si>
  <si>
    <t xml:space="preserve">CFM-2026-0064</t>
  </si>
  <si>
    <t xml:space="preserve">CFM-2026-0373</t>
  </si>
  <si>
    <t xml:space="preserve">CFM-2026-0494</t>
  </si>
  <si>
    <t xml:space="preserve">CFM-2026-0492</t>
  </si>
  <si>
    <t xml:space="preserve">CFM-2026-0212</t>
  </si>
  <si>
    <t xml:space="preserve">CFM-2026-0065</t>
  </si>
  <si>
    <t xml:space="preserve">CFM-2026-0273</t>
  </si>
  <si>
    <t xml:space="preserve">CFM-2026-0437</t>
  </si>
  <si>
    <t xml:space="preserve">CFM-2026-0276</t>
  </si>
  <si>
    <t xml:space="preserve">CFM-2026-0500</t>
  </si>
  <si>
    <t xml:space="preserve">CFM-2026-0231</t>
  </si>
  <si>
    <t xml:space="preserve">CFM-2026-0003</t>
  </si>
  <si>
    <t xml:space="preserve">CFM-2026-0170</t>
  </si>
  <si>
    <t xml:space="preserve">CFM-2026-0262</t>
  </si>
  <si>
    <t xml:space="preserve">CFM-2026-0012</t>
  </si>
  <si>
    <t xml:space="preserve">CFM-2026-0066</t>
  </si>
  <si>
    <t xml:space="preserve">CFM-2026-0238</t>
  </si>
  <si>
    <t xml:space="preserve">CFM-2026-0313</t>
  </si>
  <si>
    <t xml:space="preserve">CFM-2026-0108</t>
  </si>
  <si>
    <t xml:space="preserve">CFM-2026-0410</t>
  </si>
  <si>
    <t xml:space="preserve">CFM-2026-0097</t>
  </si>
  <si>
    <t xml:space="preserve">CFM-2026-0256</t>
  </si>
  <si>
    <t xml:space="preserve">CFM-2026-0462</t>
  </si>
  <si>
    <t xml:space="preserve">CFM-2026-0314</t>
  </si>
  <si>
    <t xml:space="preserve">30/05/2026</t>
  </si>
  <si>
    <t xml:space="preserve">CFM-2026-0266</t>
  </si>
  <si>
    <t xml:space="preserve">CFM-2026-0102</t>
  </si>
  <si>
    <t xml:space="preserve">CFM-2026-0371</t>
  </si>
  <si>
    <t xml:space="preserve">CFM-2026-0497</t>
  </si>
  <si>
    <t xml:space="preserve">CFM-2026-0349</t>
  </si>
  <si>
    <t xml:space="preserve">CFM-2026-0043</t>
  </si>
  <si>
    <t xml:space="preserve">CFM-2026-0428</t>
  </si>
  <si>
    <t xml:space="preserve">CFM-2026-0287</t>
  </si>
  <si>
    <t xml:space="preserve">CFM-2026-0432</t>
  </si>
  <si>
    <t xml:space="preserve">CFM-2026-0382</t>
  </si>
  <si>
    <t xml:space="preserve">CFM-2026-0174</t>
  </si>
  <si>
    <t xml:space="preserve">CFM-2026-0412</t>
  </si>
  <si>
    <t xml:space="preserve">CFM-2026-0353</t>
  </si>
  <si>
    <t xml:space="preserve">CFM-2026-0348</t>
  </si>
  <si>
    <t xml:space="preserve">CFM-2026-0282</t>
  </si>
  <si>
    <t xml:space="preserve">CFM-2026-0026</t>
  </si>
  <si>
    <t xml:space="preserve">CFM-2026-0442</t>
  </si>
  <si>
    <t xml:space="preserve">CFM-2026-0329</t>
  </si>
  <si>
    <t xml:space="preserve">CFM-2026-0181</t>
  </si>
  <si>
    <t xml:space="preserve">CFM-2026-0092</t>
  </si>
  <si>
    <t xml:space="preserve">CFM-2026-0439</t>
  </si>
  <si>
    <t xml:space="preserve">CFM-2026-0199</t>
  </si>
  <si>
    <t xml:space="preserve">CFM-2026-0473</t>
  </si>
  <si>
    <t xml:space="preserve">CFM-2026-0056</t>
  </si>
  <si>
    <t xml:space="preserve">CFM-2026-0083</t>
  </si>
  <si>
    <t xml:space="preserve">CFM-2026-0438</t>
  </si>
  <si>
    <t xml:space="preserve">CFM-2026-0232</t>
  </si>
  <si>
    <t xml:space="preserve">CFM-2026-0296</t>
  </si>
  <si>
    <t xml:space="preserve">CFM-2026-0141</t>
  </si>
  <si>
    <t xml:space="preserve">CFM-2026-0067</t>
  </si>
  <si>
    <t xml:space="preserve">CFM-2026-0217</t>
  </si>
  <si>
    <t xml:space="preserve">CFM-2026-0496</t>
  </si>
  <si>
    <t xml:space="preserve">CFM-2026-0007</t>
  </si>
  <si>
    <t xml:space="preserve">CFM-2026-0051</t>
  </si>
  <si>
    <t xml:space="preserve">CFM-2026-0187</t>
  </si>
  <si>
    <t xml:space="preserve">CFM-2026-0094</t>
  </si>
  <si>
    <t xml:space="preserve">CFM-2026-0433</t>
  </si>
  <si>
    <t xml:space="preserve">CFM-2026-0474</t>
  </si>
  <si>
    <t xml:space="preserve">CFM-2026-0137</t>
  </si>
  <si>
    <t xml:space="preserve">CANONICAL VALUE LISTS - use these as the single source of truth when standardising Raw_Data</t>
  </si>
  <si>
    <t xml:space="preserve">Response-time standard (assumption set by you, not by any organisation)</t>
  </si>
  <si>
    <t xml:space="preserve">Target_Response_Days</t>
  </si>
  <si>
    <t xml:space="preserve">VARIANT -&gt; CANONICAL MAPPING (build your lookup against this table)</t>
  </si>
  <si>
    <t xml:space="preserve">Field</t>
  </si>
  <si>
    <t xml:space="preserve">Variant found in Raw_Data</t>
  </si>
  <si>
    <t xml:space="preserve">Canonical value</t>
  </si>
  <si>
    <t xml:space="preserve">COMMUNITY FEEDBACK &amp; COMPLAINTS DATA QUALITY TRACKER - BUILD SPECIFICATION</t>
  </si>
  <si>
    <t xml:space="preserve">This workbook contains synthetic practice data only. No real person, household or organisation is represented.</t>
  </si>
  <si>
    <t xml:space="preserve">Defects in Raw_Data were introduced deliberately so that the cleaning and quality-check work has something to find.</t>
  </si>
  <si>
    <t xml:space="preserve">SCOPE OF THIS EXERCISE - keep your claims inside this line</t>
  </si>
  <si>
    <t xml:space="preserve">In scope: PivotTables, INDEX/MATCH, COUNTIFS, SUMIFS, AVERAGEIFS, SUMPRODUCT, COUNTBLANK, UNIQUE, IFERROR, TRIM, PROPER, TEXT, DATE/DATEVALUE, Remove Duplicates, Data Validation, Conditional Formatting.</t>
  </si>
  <si>
    <t xml:space="preserve">Deliberately out of scope: Power Query, VBA and macros, Power Pivot and DAX, statistical modelling. Do not claim these anywhere.</t>
  </si>
  <si>
    <t xml:space="preserve">COMPLETED PHASE 1 - Clean_Data</t>
  </si>
  <si>
    <t xml:space="preserve">1. Copy Raw_Data into a new sheet named Clean_Data. Never edit Raw_Data - it is your before state and your evidence.</t>
  </si>
  <si>
    <t xml:space="preserve">2. Standardise Channel, Location, Gender and Status against Reference_Lists using a lookup on the variant-to-canonical table; wrap it in IFERROR so an unmatched value stays visible instead of breaking.</t>
  </si>
  <si>
    <t xml:space="preserve">3. Strip stray spaces and fix casing with TRIM and PROPER before the lookup runs.</t>
  </si>
  <si>
    <t xml:space="preserve">4. Convert text dates to real dates with a locale-safe DATE formula using extracted day, month and year components, then apply a DD/MM/YYYY number format to the whole column.</t>
  </si>
  <si>
    <t xml:space="preserve">5. Remove exact duplicate cases. Decide and write down your rule: which of two identical Case_IDs you keep, and why.</t>
  </si>
  <si>
    <t xml:space="preserve">6. Add a calculated column Response_Days = Date_Closed - Date_Received, guarded with IFERROR for open cases.</t>
  </si>
  <si>
    <t xml:space="preserve">7. Add Target_Response_Days by looking up Sensitivity in Reference_Lists, then Within_Target = Response_Days &lt;= Target_Response_Days.</t>
  </si>
  <si>
    <t xml:space="preserve">COMPLETED PHASE 2 - Data_Quality_Check</t>
  </si>
  <si>
    <t xml:space="preserve">One row per check, with the count produced by a formula - never a number you typed.</t>
  </si>
  <si>
    <t xml:space="preserve">Checks to include: missing Sector; missing Sensitivity; missing Age_Group; missing Feedback_Note; duplicate Case_IDs; Date_Closed earlier than Date_Received; Status Closed with no Date_Closed; Status Open with a Date_Closed; dates still stored as text.</t>
  </si>
  <si>
    <t xml:space="preserve">Add a completeness rate per field: filled records divided by total records, formatted as a percentage.</t>
  </si>
  <si>
    <t xml:space="preserve">Use COUNTIFS and COUNTBLANK; use SUMPRODUCT for the two date-logic checks.</t>
  </si>
  <si>
    <t xml:space="preserve">Apply conditional formatting so any check above zero is visible at a glance.</t>
  </si>
  <si>
    <t xml:space="preserve">FUTURE OPTIONAL PHASE - Dashboard (intentionally outside this completed data-quality deliverable)</t>
  </si>
  <si>
    <t xml:space="preserve">The following dashboard ideas are retained as a future development roadmap and are not required for the completed cleaning and data-quality phase:</t>
  </si>
  <si>
    <t xml:space="preserve">a. Cases received per month, split by Channel.</t>
  </si>
  <si>
    <t xml:space="preserve">b. Open, In Progress, Closed and Referred counts, with the percentage closed.</t>
  </si>
  <si>
    <t xml:space="preserve">c. Average Response_Days by Sector and by Location.</t>
  </si>
  <si>
    <t xml:space="preserve">d. Percentage closed within target, split by Sensitivity.</t>
  </si>
  <si>
    <t xml:space="preserve">e. Top feedback types, with a breakdown by Gender and Age_Group.</t>
  </si>
  <si>
    <t xml:space="preserve">Add one line under the dashboard naming the reporting period and the data source.</t>
  </si>
  <si>
    <t xml:space="preserve">FUTURE OPTIONAL PHASE - AI-assisted text classification (intentionally outside this deliverable)</t>
  </si>
  <si>
    <t xml:space="preserve">Use a language model to classify the free-text Feedback_Note into your own category list, then hand-code a random sample of 50 notes yourself and report the agreement rate between the two.</t>
  </si>
  <si>
    <t xml:space="preserve">Report the agreement rate honestly, including where the model was wrong. The verification is the skill, not the classification.</t>
  </si>
  <si>
    <t xml:space="preserve">WHAT TO BE READY TO EXPLAIN IN AN INTERVIEW</t>
  </si>
  <si>
    <t xml:space="preserve">Why sensitive cases carry no detail in this tracker, and what that implies for confidentiality and referral.</t>
  </si>
  <si>
    <t xml:space="preserve">Your de-duplication rule and why you chose it.</t>
  </si>
  <si>
    <t xml:space="preserve">What a rising average Response_Days in one location would tell a programme team, and what you would check next.</t>
  </si>
  <si>
    <t xml:space="preserve">The limits of the exercise: synthetic data, no real intake process behind it, and no organisational data-protection policy applied.</t>
  </si>
  <si>
    <t xml:space="preserve">COMMUNITY FEEDBACK &amp; COMPLAINTS MECHANISM - DATA QUALITY REGISTER</t>
  </si>
  <si>
    <t xml:space="preserve">Self-directed MEAL data-quality practice project using synthetic data. Response-time targets are assumed for demonstration purposes and do not represent an organisation's official standards.</t>
  </si>
  <si>
    <t xml:space="preserve">Source: Clean_Data (CleanDataTable). Raw_Data is preserved unchanged. Surviving defects are measured and reported, never corrected, filled or imputed. This completed deliverable covers data cleaning, alignment hardening, quality checks and reconciliation; dashboard development is an optional future extension.</t>
  </si>
  <si>
    <t xml:space="preserve">SECTION 1 - DATA QUALITY REGISTER</t>
  </si>
  <si>
    <t xml:space="preserve">Check_ID</t>
  </si>
  <si>
    <t xml:space="preserve">Data_Quality_Dimension</t>
  </si>
  <si>
    <t xml:space="preserve">Data_Quality_Check</t>
  </si>
  <si>
    <t xml:space="preserve">Issue_Count</t>
  </si>
  <si>
    <t xml:space="preserve">Denominator</t>
  </si>
  <si>
    <t xml:space="preserve">Completeness_or_Rate</t>
  </si>
  <si>
    <t xml:space="preserve">Result_Status</t>
  </si>
  <si>
    <t xml:space="preserve">Programme_Action</t>
  </si>
  <si>
    <t xml:space="preserve">Formula_Explanation</t>
  </si>
  <si>
    <t xml:space="preserve">DQ-01</t>
  </si>
  <si>
    <t xml:space="preserve">Completeness</t>
  </si>
  <si>
    <t xml:space="preserve">Sector not recorded</t>
  </si>
  <si>
    <t xml:space="preserve">Return the flagged records to the data-collection team for sector classification before any disaggregated reporting is issued.</t>
  </si>
  <si>
    <t xml:space="preserve">COUNTBLANK counts cells in the Sector column that are empty or return an empty string; the denominator is the count of Case_IDs in the cleaned table.</t>
  </si>
  <si>
    <t xml:space="preserve">DQ-02</t>
  </si>
  <si>
    <t xml:space="preserve">Sensitivity classification not recorded</t>
  </si>
  <si>
    <t xml:space="preserve">Review classification with authorised staff: without it the correct response-time target cannot be applied and the case is excluded from performance assessment.</t>
  </si>
  <si>
    <t xml:space="preserve">COUNTBLANK over the Sensitivity column. Each blank propagates into Target_Response_Days as UNMATCHED, so this check and DQ-10 are linked.</t>
  </si>
  <si>
    <t xml:space="preserve">DQ-03</t>
  </si>
  <si>
    <t xml:space="preserve">Age group not recorded</t>
  </si>
  <si>
    <t xml:space="preserve">Request completion at source where the respondent provided it; do not estimate age group for disaggregation.</t>
  </si>
  <si>
    <t xml:space="preserve">COUNTBLANK over the Age_Group column, expressed against the same record denominator as every other completeness check.</t>
  </si>
  <si>
    <t xml:space="preserve">DQ-04</t>
  </si>
  <si>
    <t xml:space="preserve">Feedback note not recorded</t>
  </si>
  <si>
    <t xml:space="preserve">Check whether a non-sensitive summary can be completed; do not request sensitive narrative detail that the tracker is not designed to hold.</t>
  </si>
  <si>
    <t xml:space="preserve">COUNTBLANK over the Feedback_Note column. Sensitive cases deliberately carry a placeholder rather than narrative detail, so blanks here are a completeness issue, not a confidentiality one.</t>
  </si>
  <si>
    <t xml:space="preserve">DQ-05</t>
  </si>
  <si>
    <t xml:space="preserve">Uniqueness</t>
  </si>
  <si>
    <t xml:space="preserve">Duplicate Case_ID records remaining (beyond first occurrence)</t>
  </si>
  <si>
    <t xml:space="preserve">No duplicates are expected. If this count rises, re-open the de-duplication rule and verify the affected Case_IDs before reporting.</t>
  </si>
  <si>
    <t xml:space="preserve">Total records minus the distinct count. COUNTIF returns how many times each Case_ID appears, so 1/COUNTIF gives every duplicate group a combined weight of exactly 1; the difference is the number of rows beyond the first occurrence. Uses no dynamic-array function, so it works in every Excel version.</t>
  </si>
  <si>
    <t xml:space="preserve">DQ-06</t>
  </si>
  <si>
    <t xml:space="preserve">Alignment</t>
  </si>
  <si>
    <t xml:space="preserve">Case_ID not aligned with linked source row</t>
  </si>
  <si>
    <t xml:space="preserve">Suspend use of any affected row until the source link and the stable Case_ID are reconciled; do not report figures from a misaligned row.</t>
  </si>
  <si>
    <t xml:space="preserve">Counts every row whose Alignment_Check is not ALIGNED, so MISMATCH, MISSING ID and CHECK are all captured rather than only the mismatch label.</t>
  </si>
  <si>
    <t xml:space="preserve">DQ-07</t>
  </si>
  <si>
    <t xml:space="preserve">Date logic</t>
  </si>
  <si>
    <t xml:space="preserve">Date_Closed earlier than Date_Received</t>
  </si>
  <si>
    <t xml:space="preserve">Verify the original receipt and closure dates against source records; correct only after source verification and record the change in an audit trail.</t>
  </si>
  <si>
    <t xml:space="preserve">SUMPRODUCT requires both dates to be true numeric dates before testing whether Date_Closed precedes Date_Received. The ISNUMBER guards matter: Excel ranks any text above any number, so a date left as text would otherwise be counted as an error or hide a real one.</t>
  </si>
  <si>
    <t xml:space="preserve">DQ-08</t>
  </si>
  <si>
    <t xml:space="preserve">Status logic</t>
  </si>
  <si>
    <t xml:space="preserve">Status Closed with no Date_Closed</t>
  </si>
  <si>
    <t xml:space="preserve">Confirm whether the case is genuinely closed and complete the closure documentation; these cases cannot enter response-time performance until resolved.</t>
  </si>
  <si>
    <t xml:space="preserve">SUMPRODUCT over two conditions: status equals Closed and the closure date is empty. This is the first exclusion reason in the reconciliation block.</t>
  </si>
  <si>
    <t xml:space="preserve">DQ-09</t>
  </si>
  <si>
    <t xml:space="preserve">Status Open or In Progress carrying a Date_Closed</t>
  </si>
  <si>
    <t xml:space="preserve">Confirm with the responsible team whether the status or the closure date is incorrect before either field is used in reporting.</t>
  </si>
  <si>
    <t xml:space="preserve">The two status conditions are added inside the brackets so the expression behaves as OR, then multiplied by the test that a closure date exists. A single COUNTIFS cannot express OR across one column.</t>
  </si>
  <si>
    <t xml:space="preserve">DQ-10</t>
  </si>
  <si>
    <t xml:space="preserve">Lookup integrity</t>
  </si>
  <si>
    <t xml:space="preserve">Target_Response_Days returning UNMATCHED</t>
  </si>
  <si>
    <t xml:space="preserve">Resolve the underlying Sensitivity classification; the lookup is behaving correctly and must not be forced to return a default target.</t>
  </si>
  <si>
    <t xml:space="preserve">COUNTIF for the visible UNMATCHED label written by the IFERROR wrapper in the lookup, so a failed match stays visible instead of collapsing to a blank.</t>
  </si>
  <si>
    <t xml:space="preserve">DQ-11</t>
  </si>
  <si>
    <t xml:space="preserve">Formula integrity</t>
  </si>
  <si>
    <t xml:space="preserve">Formula errors in calculated fields</t>
  </si>
  <si>
    <t xml:space="preserve">No formula error is acceptable in a reporting field. Trace any error to its source before using the derived performance measures.</t>
  </si>
  <si>
    <t xml:space="preserve">ISERROR is evaluated across the three calculated columns at once and the double negative converts TRUE and FALSE into 1 and 0 for SUMPRODUCT to total.</t>
  </si>
  <si>
    <t xml:space="preserve">DQ-12</t>
  </si>
  <si>
    <t xml:space="preserve">Conformity</t>
  </si>
  <si>
    <t xml:space="preserve">Categorical value outside the canonical reference lists</t>
  </si>
  <si>
    <t xml:space="preserve">If any value appears here, review the standardisation mapping and canonical lists; do not manually overwrite the cleaned record.</t>
  </si>
  <si>
    <t xml:space="preserve">Each standardised field returns the visible label UNMATCHED whenever its mapping fails. COUNTIF totals those visible exceptions across Channel, Location, Gender and Status.</t>
  </si>
  <si>
    <t xml:space="preserve">DQ-13</t>
  </si>
  <si>
    <t xml:space="preserve">Date integrity</t>
  </si>
  <si>
    <t xml:space="preserve">Date values still stored as text after cleaning</t>
  </si>
  <si>
    <t xml:space="preserve">Re-run the locale-safe date conversion on the flagged cells and verify the original entry before using the dates in response-time reporting.</t>
  </si>
  <si>
    <t xml:space="preserve">SUMPRODUCT counts only non-blank Date_Received and Date_Closed cells that still evaluate as text; a result of zero confirms that stored text dates were converted to real date values.</t>
  </si>
  <si>
    <t xml:space="preserve">SECTION 2 - TARGET-ASSESSMENT RECONCILIATION</t>
  </si>
  <si>
    <t xml:space="preserve">Metric</t>
  </si>
  <si>
    <t xml:space="preserve">Value</t>
  </si>
  <si>
    <t xml:space="preserve">Definition / basis</t>
  </si>
  <si>
    <t xml:space="preserve">Total Closed cases</t>
  </si>
  <si>
    <t xml:space="preserve">Every record whose standardised status is Closed.</t>
  </si>
  <si>
    <t xml:space="preserve">Eligible for target assessment</t>
  </si>
  <si>
    <t xml:space="preserve">Closed cases carrying a genuine numeric closure date, a numeric non-negative response time and a matched numeric response-time target - the four conditions that allow a verdict. Tested with ISNUMBER rather than against the UNMATCHED label, so a blank or text value can never pass as eligible.</t>
  </si>
  <si>
    <t xml:space="preserve">Within target</t>
  </si>
  <si>
    <t xml:space="preserve">Eligible cases closed within the assumed response-time target.</t>
  </si>
  <si>
    <t xml:space="preserve">Outside target</t>
  </si>
  <si>
    <t xml:space="preserve">Eligible cases closed after the assumed response-time target.</t>
  </si>
  <si>
    <t xml:space="preserve">Excluded from target assessment</t>
  </si>
  <si>
    <t xml:space="preserve">Total Closed minus eligible; these cases cannot be judged either way and must be reported separately, never dropped silently.</t>
  </si>
  <si>
    <t xml:space="preserve">MUTUALLY EXCLUSIVE EXCLUSION REASONS (applied in precedence order)</t>
  </si>
  <si>
    <t xml:space="preserve">1. Closed with missing Date_Closed</t>
  </si>
  <si>
    <t xml:space="preserve">First in precedence: without a closure date no response time exists.</t>
  </si>
  <si>
    <t xml:space="preserve">2. Negative Response_Days (date present)</t>
  </si>
  <si>
    <t xml:space="preserve">Second: a closure date earlier than receipt. Includes the one record that also lacks Sensitivity, which is why it is not counted again below.</t>
  </si>
  <si>
    <t xml:space="preserve">3. Sensitivity unresolved (dates valid)</t>
  </si>
  <si>
    <t xml:space="preserve">Third: dates are sound but no response-time target could be assigned.</t>
  </si>
  <si>
    <t xml:space="preserve">4. Other or unexpected reason</t>
  </si>
  <si>
    <t xml:space="preserve">Independently derived, not a residual: a case meeting all four eligibility conditions whose Within_Target still shows no verdict. Doubles as an integrity test between the arithmetic definition and the Within_Target column.</t>
  </si>
  <si>
    <t xml:space="preserve">Sum of exclusive exclusion reasons</t>
  </si>
  <si>
    <t xml:space="preserve">Must equal the excluded total above.</t>
  </si>
  <si>
    <t xml:space="preserve">Reconciliation difference (must be zero)</t>
  </si>
  <si>
    <t xml:space="preserve">Total Closed minus eligible minus the sum of exclusive reasons. Any non-zero value means a closed case is unaccounted for.</t>
  </si>
  <si>
    <t xml:space="preserve">NON-ADDITIVE RAW COUNTS - OVERLAPPING, DO NOT SUM</t>
  </si>
  <si>
    <t xml:space="preserve">Closed with missing Date_Closed (raw)</t>
  </si>
  <si>
    <t xml:space="preserve">Closed with negative Response_Days (raw)</t>
  </si>
  <si>
    <t xml:space="preserve">Closed with missing Sensitivity (raw)</t>
  </si>
  <si>
    <t xml:space="preserve">Naive total of the three raw counts</t>
  </si>
  <si>
    <t xml:space="preserve">Shown only to demonstrate the double-count: one closed case carries both a negative Response_Days and a missing Sensitivity, so this figure overstates the true exclusion total by one.</t>
  </si>
  <si>
    <t xml:space="preserve">SECTION 3 - MANAGEMENT SUMMARY</t>
  </si>
  <si>
    <t xml:space="preserve">Response_Days</t>
  </si>
  <si>
    <t xml:space="preserve">Within_Target</t>
  </si>
  <si>
    <t xml:space="preserve">Linked_Source_Case_ID</t>
  </si>
  <si>
    <t xml:space="preserve">Alignment_Check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</si>
</sst>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%"/>
    <numFmt numFmtId="168" formatCode="0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6" fillId="0" borderId="1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2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375623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833C00"/>
        <sz val="1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C7CE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833C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DataTable" displayName="CleanDataTable" ref="A1:Q501" headerRowCount="1" totalsRowCount="0" totalsRowShown="0">
  <autoFilter ref="A1:Q501"/>
  <tableColumns count="17">
    <tableColumn id="1" name="Case_ID"/>
    <tableColumn id="2" name="Date_Received"/>
    <tableColumn id="3" name="Channel"/>
    <tableColumn id="4" name="Location"/>
    <tableColumn id="5" name="Sector"/>
    <tableColumn id="6" name="Feedback_Type"/>
    <tableColumn id="7" name="Sensitivity"/>
    <tableColumn id="8" name="Gender"/>
    <tableColumn id="9" name="Age_Group"/>
    <tableColumn id="10" name="Status"/>
    <tableColumn id="11" name="Date_Closed"/>
    <tableColumn id="12" name="Feedback_Note"/>
    <tableColumn id="13" name="Response_Days"/>
    <tableColumn id="14" name="Target_Response_Days"/>
    <tableColumn id="15" name="Within_Target"/>
    <tableColumn id="16" name="Linked_Source_Case_ID"/>
    <tableColumn id="17" name="Alignment_Chec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6796875" defaultRowHeight="12.7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6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75" hidden="false" customHeight="false" outlineLevel="0" collapsed="false">
      <c r="A2" s="2" t="s">
        <v>12</v>
      </c>
      <c r="B2" s="3" t="n">
        <v>46193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n">
        <v>46203</v>
      </c>
      <c r="L2" s="2"/>
    </row>
    <row r="3" customFormat="false" ht="12.75" hidden="false" customHeight="false" outlineLevel="0" collapsed="false">
      <c r="A3" s="2" t="s">
        <v>21</v>
      </c>
      <c r="B3" s="3" t="n">
        <v>46150</v>
      </c>
      <c r="C3" s="2" t="s">
        <v>22</v>
      </c>
      <c r="D3" s="2" t="s">
        <v>23</v>
      </c>
      <c r="E3" s="2" t="s">
        <v>15</v>
      </c>
      <c r="F3" s="2" t="s">
        <v>24</v>
      </c>
      <c r="G3" s="2" t="s">
        <v>17</v>
      </c>
      <c r="H3" s="2" t="s">
        <v>18</v>
      </c>
      <c r="I3" s="2" t="s">
        <v>25</v>
      </c>
      <c r="J3" s="2" t="s">
        <v>20</v>
      </c>
      <c r="K3" s="3" t="n">
        <v>46153</v>
      </c>
      <c r="L3" s="2" t="s">
        <v>26</v>
      </c>
    </row>
    <row r="4" customFormat="false" ht="12.75" hidden="false" customHeight="false" outlineLevel="0" collapsed="false">
      <c r="A4" s="2" t="s">
        <v>27</v>
      </c>
      <c r="B4" s="3" t="n">
        <v>46144</v>
      </c>
      <c r="C4" s="2" t="s">
        <v>28</v>
      </c>
      <c r="D4" s="2" t="s">
        <v>23</v>
      </c>
      <c r="E4" s="2" t="s">
        <v>29</v>
      </c>
      <c r="F4" s="2" t="s">
        <v>30</v>
      </c>
      <c r="G4" s="2" t="s">
        <v>17</v>
      </c>
      <c r="H4" s="2" t="s">
        <v>18</v>
      </c>
      <c r="I4" s="2" t="s">
        <v>25</v>
      </c>
      <c r="J4" s="2" t="s">
        <v>31</v>
      </c>
      <c r="K4" s="3" t="n">
        <v>46151</v>
      </c>
      <c r="L4" s="2" t="s">
        <v>32</v>
      </c>
    </row>
    <row r="5" customFormat="false" ht="12.75" hidden="false" customHeight="false" outlineLevel="0" collapsed="false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18</v>
      </c>
      <c r="I5" s="2" t="s">
        <v>40</v>
      </c>
      <c r="J5" s="2" t="s">
        <v>20</v>
      </c>
      <c r="K5" s="3" t="n">
        <v>46078</v>
      </c>
      <c r="L5" s="2" t="s">
        <v>41</v>
      </c>
    </row>
    <row r="6" customFormat="false" ht="12.75" hidden="false" customHeight="false" outlineLevel="0" collapsed="false">
      <c r="A6" s="2" t="s">
        <v>42</v>
      </c>
      <c r="B6" s="3" t="n">
        <v>46137</v>
      </c>
      <c r="C6" s="2" t="s">
        <v>43</v>
      </c>
      <c r="D6" s="2" t="s">
        <v>44</v>
      </c>
      <c r="E6" s="2" t="s">
        <v>29</v>
      </c>
      <c r="F6" s="2" t="s">
        <v>30</v>
      </c>
      <c r="G6" s="2" t="s">
        <v>17</v>
      </c>
      <c r="H6" s="2" t="s">
        <v>18</v>
      </c>
      <c r="I6" s="2" t="s">
        <v>25</v>
      </c>
      <c r="J6" s="2" t="s">
        <v>20</v>
      </c>
      <c r="K6" s="3" t="n">
        <v>46140</v>
      </c>
      <c r="L6" s="2" t="s">
        <v>45</v>
      </c>
    </row>
    <row r="7" customFormat="false" ht="12.75" hidden="false" customHeight="false" outlineLevel="0" collapsed="false">
      <c r="A7" s="2" t="s">
        <v>46</v>
      </c>
      <c r="B7" s="3" t="n">
        <v>46223</v>
      </c>
      <c r="C7" s="2" t="s">
        <v>43</v>
      </c>
      <c r="D7" s="2" t="s">
        <v>47</v>
      </c>
      <c r="E7" s="2" t="s">
        <v>29</v>
      </c>
      <c r="F7" s="2" t="s">
        <v>48</v>
      </c>
      <c r="G7" s="2" t="s">
        <v>17</v>
      </c>
      <c r="H7" s="2" t="s">
        <v>49</v>
      </c>
      <c r="I7" s="2" t="s">
        <v>40</v>
      </c>
      <c r="J7" s="2" t="s">
        <v>20</v>
      </c>
      <c r="K7" s="3" t="n">
        <v>46248</v>
      </c>
      <c r="L7" s="2" t="s">
        <v>45</v>
      </c>
    </row>
    <row r="8" customFormat="false" ht="12.75" hidden="false" customHeight="false" outlineLevel="0" collapsed="false">
      <c r="A8" s="2" t="s">
        <v>50</v>
      </c>
      <c r="B8" s="3" t="n">
        <v>46082</v>
      </c>
      <c r="C8" s="2" t="s">
        <v>22</v>
      </c>
      <c r="D8" s="2" t="s">
        <v>51</v>
      </c>
      <c r="E8" s="2" t="s">
        <v>52</v>
      </c>
      <c r="F8" s="2" t="s">
        <v>24</v>
      </c>
      <c r="G8" s="2" t="s">
        <v>17</v>
      </c>
      <c r="H8" s="2" t="s">
        <v>18</v>
      </c>
      <c r="I8" s="2" t="s">
        <v>53</v>
      </c>
      <c r="J8" s="2" t="s">
        <v>20</v>
      </c>
      <c r="K8" s="3" t="n">
        <v>46087</v>
      </c>
      <c r="L8" s="2" t="s">
        <v>54</v>
      </c>
    </row>
    <row r="9" customFormat="false" ht="12.75" hidden="false" customHeight="false" outlineLevel="0" collapsed="false">
      <c r="A9" s="2" t="s">
        <v>55</v>
      </c>
      <c r="B9" s="3" t="n">
        <v>46196</v>
      </c>
      <c r="C9" s="2" t="s">
        <v>35</v>
      </c>
      <c r="D9" s="2" t="s">
        <v>56</v>
      </c>
      <c r="E9" s="2" t="s">
        <v>37</v>
      </c>
      <c r="F9" s="2" t="s">
        <v>24</v>
      </c>
      <c r="G9" s="2" t="s">
        <v>17</v>
      </c>
      <c r="H9" s="2" t="s">
        <v>57</v>
      </c>
      <c r="I9" s="2" t="s">
        <v>25</v>
      </c>
      <c r="J9" s="2" t="s">
        <v>58</v>
      </c>
      <c r="K9" s="2"/>
      <c r="L9" s="2" t="s">
        <v>59</v>
      </c>
    </row>
    <row r="10" customFormat="false" ht="12.75" hidden="false" customHeight="false" outlineLevel="0" collapsed="false">
      <c r="A10" s="2" t="s">
        <v>60</v>
      </c>
      <c r="B10" s="3" t="n">
        <v>46215</v>
      </c>
      <c r="C10" s="2" t="s">
        <v>61</v>
      </c>
      <c r="D10" s="2" t="s">
        <v>62</v>
      </c>
      <c r="E10" s="2" t="s">
        <v>15</v>
      </c>
      <c r="F10" s="2" t="s">
        <v>24</v>
      </c>
      <c r="G10" s="2" t="s">
        <v>17</v>
      </c>
      <c r="H10" s="2" t="s">
        <v>49</v>
      </c>
      <c r="I10" s="2" t="s">
        <v>25</v>
      </c>
      <c r="J10" s="2" t="s">
        <v>20</v>
      </c>
      <c r="K10" s="3" t="n">
        <v>46227</v>
      </c>
      <c r="L10" s="2" t="s">
        <v>63</v>
      </c>
    </row>
    <row r="11" customFormat="false" ht="12.75" hidden="false" customHeight="false" outlineLevel="0" collapsed="false">
      <c r="A11" s="2" t="s">
        <v>64</v>
      </c>
      <c r="B11" s="3" t="n">
        <v>46137</v>
      </c>
      <c r="C11" s="2" t="s">
        <v>28</v>
      </c>
      <c r="D11" s="2" t="s">
        <v>65</v>
      </c>
      <c r="E11" s="2" t="s">
        <v>66</v>
      </c>
      <c r="F11" s="2" t="s">
        <v>16</v>
      </c>
      <c r="G11" s="2" t="s">
        <v>17</v>
      </c>
      <c r="H11" s="2" t="s">
        <v>57</v>
      </c>
      <c r="I11" s="2" t="s">
        <v>40</v>
      </c>
      <c r="J11" s="2" t="s">
        <v>20</v>
      </c>
      <c r="K11" s="3" t="n">
        <v>46140</v>
      </c>
      <c r="L11" s="2" t="s">
        <v>67</v>
      </c>
    </row>
    <row r="12" customFormat="false" ht="12.75" hidden="false" customHeight="false" outlineLevel="0" collapsed="false">
      <c r="A12" s="2" t="s">
        <v>68</v>
      </c>
      <c r="B12" s="3" t="n">
        <v>46143</v>
      </c>
      <c r="C12" s="2" t="s">
        <v>69</v>
      </c>
      <c r="D12" s="2" t="s">
        <v>70</v>
      </c>
      <c r="E12" s="2" t="s">
        <v>37</v>
      </c>
      <c r="F12" s="2" t="s">
        <v>24</v>
      </c>
      <c r="G12" s="2" t="s">
        <v>17</v>
      </c>
      <c r="H12" s="2" t="s">
        <v>18</v>
      </c>
      <c r="I12" s="2" t="s">
        <v>53</v>
      </c>
      <c r="J12" s="2" t="s">
        <v>71</v>
      </c>
      <c r="K12" s="3" t="n">
        <v>46160</v>
      </c>
      <c r="L12" s="2" t="s">
        <v>72</v>
      </c>
    </row>
    <row r="13" customFormat="false" ht="12.75" hidden="false" customHeight="false" outlineLevel="0" collapsed="false">
      <c r="A13" s="2" t="s">
        <v>73</v>
      </c>
      <c r="B13" s="3" t="n">
        <v>46200</v>
      </c>
      <c r="C13" s="2" t="s">
        <v>28</v>
      </c>
      <c r="D13" s="2" t="s">
        <v>47</v>
      </c>
      <c r="E13" s="2" t="s">
        <v>66</v>
      </c>
      <c r="F13" s="2" t="s">
        <v>24</v>
      </c>
      <c r="G13" s="2" t="s">
        <v>17</v>
      </c>
      <c r="H13" s="2" t="s">
        <v>49</v>
      </c>
      <c r="I13" s="2"/>
      <c r="J13" s="2" t="s">
        <v>20</v>
      </c>
      <c r="K13" s="2" t="s">
        <v>74</v>
      </c>
      <c r="L13" s="2" t="s">
        <v>67</v>
      </c>
    </row>
    <row r="14" customFormat="false" ht="12.75" hidden="false" customHeight="false" outlineLevel="0" collapsed="false">
      <c r="A14" s="2" t="s">
        <v>75</v>
      </c>
      <c r="B14" s="3" t="n">
        <v>46047</v>
      </c>
      <c r="C14" s="2" t="s">
        <v>61</v>
      </c>
      <c r="D14" s="2" t="s">
        <v>51</v>
      </c>
      <c r="E14" s="2" t="s">
        <v>15</v>
      </c>
      <c r="F14" s="2" t="s">
        <v>24</v>
      </c>
      <c r="G14" s="2" t="s">
        <v>17</v>
      </c>
      <c r="H14" s="2" t="s">
        <v>18</v>
      </c>
      <c r="I14" s="2" t="s">
        <v>19</v>
      </c>
      <c r="J14" s="2" t="s">
        <v>58</v>
      </c>
      <c r="K14" s="2"/>
      <c r="L14" s="2" t="s">
        <v>26</v>
      </c>
    </row>
    <row r="15" customFormat="false" ht="12.75" hidden="false" customHeight="false" outlineLevel="0" collapsed="false">
      <c r="A15" s="2" t="s">
        <v>76</v>
      </c>
      <c r="B15" s="3" t="n">
        <v>46172</v>
      </c>
      <c r="C15" s="2" t="s">
        <v>28</v>
      </c>
      <c r="D15" s="2" t="s">
        <v>14</v>
      </c>
      <c r="E15" s="2" t="s">
        <v>15</v>
      </c>
      <c r="F15" s="2" t="s">
        <v>24</v>
      </c>
      <c r="G15" s="2" t="s">
        <v>17</v>
      </c>
      <c r="H15" s="2" t="s">
        <v>77</v>
      </c>
      <c r="I15" s="2" t="s">
        <v>25</v>
      </c>
      <c r="J15" s="2" t="s">
        <v>20</v>
      </c>
      <c r="K15" s="3" t="n">
        <v>46198</v>
      </c>
      <c r="L15" s="2" t="s">
        <v>78</v>
      </c>
    </row>
    <row r="16" customFormat="false" ht="12.75" hidden="false" customHeight="false" outlineLevel="0" collapsed="false">
      <c r="A16" s="2" t="s">
        <v>79</v>
      </c>
      <c r="B16" s="3" t="n">
        <v>46160</v>
      </c>
      <c r="C16" s="2" t="s">
        <v>22</v>
      </c>
      <c r="D16" s="2" t="s">
        <v>70</v>
      </c>
      <c r="E16" s="2" t="s">
        <v>66</v>
      </c>
      <c r="F16" s="2" t="s">
        <v>38</v>
      </c>
      <c r="G16" s="2" t="s">
        <v>39</v>
      </c>
      <c r="H16" s="2" t="s">
        <v>80</v>
      </c>
      <c r="I16" s="2" t="s">
        <v>81</v>
      </c>
      <c r="J16" s="2" t="s">
        <v>58</v>
      </c>
      <c r="K16" s="2"/>
      <c r="L16" s="2" t="s">
        <v>41</v>
      </c>
    </row>
    <row r="17" customFormat="false" ht="12.75" hidden="false" customHeight="false" outlineLevel="0" collapsed="false">
      <c r="A17" s="2" t="s">
        <v>82</v>
      </c>
      <c r="B17" s="3" t="n">
        <v>46088</v>
      </c>
      <c r="C17" s="2" t="s">
        <v>61</v>
      </c>
      <c r="D17" s="2" t="s">
        <v>56</v>
      </c>
      <c r="E17" s="2" t="s">
        <v>29</v>
      </c>
      <c r="F17" s="2" t="s">
        <v>48</v>
      </c>
      <c r="G17" s="2" t="s">
        <v>17</v>
      </c>
      <c r="H17" s="2" t="s">
        <v>49</v>
      </c>
      <c r="I17" s="2" t="s">
        <v>40</v>
      </c>
      <c r="J17" s="2" t="s">
        <v>83</v>
      </c>
      <c r="K17" s="2"/>
      <c r="L17" s="2" t="s">
        <v>32</v>
      </c>
    </row>
    <row r="18" customFormat="false" ht="12.75" hidden="false" customHeight="false" outlineLevel="0" collapsed="false">
      <c r="A18" s="2" t="s">
        <v>84</v>
      </c>
      <c r="B18" s="3" t="n">
        <v>46226</v>
      </c>
      <c r="C18" s="2" t="s">
        <v>35</v>
      </c>
      <c r="D18" s="2" t="s">
        <v>85</v>
      </c>
      <c r="E18" s="2" t="s">
        <v>66</v>
      </c>
      <c r="F18" s="2" t="s">
        <v>24</v>
      </c>
      <c r="G18" s="2" t="s">
        <v>17</v>
      </c>
      <c r="H18" s="2" t="s">
        <v>18</v>
      </c>
      <c r="I18" s="2" t="s">
        <v>53</v>
      </c>
      <c r="J18" s="2" t="s">
        <v>20</v>
      </c>
      <c r="K18" s="3" t="n">
        <v>46243</v>
      </c>
      <c r="L18" s="2" t="s">
        <v>86</v>
      </c>
    </row>
    <row r="19" customFormat="false" ht="12.75" hidden="false" customHeight="false" outlineLevel="0" collapsed="false">
      <c r="A19" s="2" t="s">
        <v>87</v>
      </c>
      <c r="B19" s="3" t="n">
        <v>46116</v>
      </c>
      <c r="C19" s="2" t="s">
        <v>35</v>
      </c>
      <c r="D19" s="2" t="s">
        <v>56</v>
      </c>
      <c r="E19" s="2" t="s">
        <v>52</v>
      </c>
      <c r="F19" s="2" t="s">
        <v>16</v>
      </c>
      <c r="G19" s="2" t="s">
        <v>17</v>
      </c>
      <c r="H19" s="2" t="s">
        <v>80</v>
      </c>
      <c r="I19" s="2" t="s">
        <v>53</v>
      </c>
      <c r="J19" s="2" t="s">
        <v>20</v>
      </c>
      <c r="K19" s="3" t="n">
        <v>46132</v>
      </c>
      <c r="L19" s="2" t="s">
        <v>88</v>
      </c>
    </row>
    <row r="20" customFormat="false" ht="12.75" hidden="false" customHeight="false" outlineLevel="0" collapsed="false">
      <c r="A20" s="2" t="s">
        <v>89</v>
      </c>
      <c r="B20" s="3" t="n">
        <v>46087</v>
      </c>
      <c r="C20" s="2" t="s">
        <v>61</v>
      </c>
      <c r="D20" s="2" t="s">
        <v>56</v>
      </c>
      <c r="E20" s="2" t="s">
        <v>15</v>
      </c>
      <c r="F20" s="2" t="s">
        <v>24</v>
      </c>
      <c r="G20" s="2" t="s">
        <v>17</v>
      </c>
      <c r="H20" s="2" t="s">
        <v>49</v>
      </c>
      <c r="I20" s="2" t="s">
        <v>40</v>
      </c>
      <c r="J20" s="2" t="s">
        <v>83</v>
      </c>
      <c r="K20" s="2"/>
      <c r="L20" s="2" t="s">
        <v>63</v>
      </c>
    </row>
    <row r="21" customFormat="false" ht="12.75" hidden="false" customHeight="false" outlineLevel="0" collapsed="false">
      <c r="A21" s="2" t="s">
        <v>90</v>
      </c>
      <c r="B21" s="2" t="s">
        <v>91</v>
      </c>
      <c r="C21" s="2" t="s">
        <v>13</v>
      </c>
      <c r="D21" s="2" t="s">
        <v>92</v>
      </c>
      <c r="E21" s="2" t="s">
        <v>15</v>
      </c>
      <c r="F21" s="2" t="s">
        <v>24</v>
      </c>
      <c r="G21" s="2" t="s">
        <v>17</v>
      </c>
      <c r="H21" s="2" t="s">
        <v>93</v>
      </c>
      <c r="I21" s="2" t="s">
        <v>81</v>
      </c>
      <c r="J21" s="2" t="s">
        <v>31</v>
      </c>
      <c r="K21" s="3" t="n">
        <v>46138</v>
      </c>
      <c r="L21" s="2" t="s">
        <v>26</v>
      </c>
    </row>
    <row r="22" customFormat="false" ht="12.75" hidden="false" customHeight="false" outlineLevel="0" collapsed="false">
      <c r="A22" s="2" t="s">
        <v>94</v>
      </c>
      <c r="B22" s="3" t="n">
        <v>46093</v>
      </c>
      <c r="C22" s="2" t="s">
        <v>22</v>
      </c>
      <c r="D22" s="2" t="s">
        <v>65</v>
      </c>
      <c r="E22" s="2" t="s">
        <v>52</v>
      </c>
      <c r="F22" s="2" t="s">
        <v>48</v>
      </c>
      <c r="G22" s="2" t="s">
        <v>17</v>
      </c>
      <c r="H22" s="2" t="s">
        <v>77</v>
      </c>
      <c r="I22" s="2" t="s">
        <v>53</v>
      </c>
      <c r="J22" s="2" t="s">
        <v>20</v>
      </c>
      <c r="K22" s="3" t="n">
        <v>46101</v>
      </c>
      <c r="L22" s="2" t="s">
        <v>95</v>
      </c>
    </row>
    <row r="23" customFormat="false" ht="12.75" hidden="false" customHeight="false" outlineLevel="0" collapsed="false">
      <c r="A23" s="2" t="s">
        <v>96</v>
      </c>
      <c r="B23" s="3" t="n">
        <v>46054</v>
      </c>
      <c r="C23" s="2" t="s">
        <v>28</v>
      </c>
      <c r="D23" s="2" t="s">
        <v>56</v>
      </c>
      <c r="E23" s="2" t="s">
        <v>52</v>
      </c>
      <c r="F23" s="2" t="s">
        <v>24</v>
      </c>
      <c r="G23" s="2" t="s">
        <v>17</v>
      </c>
      <c r="H23" s="2" t="s">
        <v>18</v>
      </c>
      <c r="I23" s="2" t="s">
        <v>25</v>
      </c>
      <c r="J23" s="2" t="s">
        <v>20</v>
      </c>
      <c r="K23" s="3" t="n">
        <v>46065</v>
      </c>
      <c r="L23" s="2" t="s">
        <v>97</v>
      </c>
    </row>
    <row r="24" customFormat="false" ht="12.75" hidden="false" customHeight="false" outlineLevel="0" collapsed="false">
      <c r="A24" s="2" t="s">
        <v>98</v>
      </c>
      <c r="B24" s="3" t="n">
        <v>46118</v>
      </c>
      <c r="C24" s="2" t="s">
        <v>28</v>
      </c>
      <c r="D24" s="2" t="s">
        <v>51</v>
      </c>
      <c r="E24" s="2" t="s">
        <v>15</v>
      </c>
      <c r="F24" s="2" t="s">
        <v>24</v>
      </c>
      <c r="G24" s="2" t="s">
        <v>17</v>
      </c>
      <c r="H24" s="2" t="s">
        <v>18</v>
      </c>
      <c r="I24" s="2" t="s">
        <v>40</v>
      </c>
      <c r="J24" s="2" t="s">
        <v>20</v>
      </c>
      <c r="K24" s="3" t="n">
        <v>46124</v>
      </c>
      <c r="L24" s="2" t="s">
        <v>78</v>
      </c>
    </row>
    <row r="25" customFormat="false" ht="12.75" hidden="false" customHeight="false" outlineLevel="0" collapsed="false">
      <c r="A25" s="2" t="s">
        <v>99</v>
      </c>
      <c r="B25" s="3" t="n">
        <v>46056</v>
      </c>
      <c r="C25" s="2" t="s">
        <v>22</v>
      </c>
      <c r="D25" s="2" t="s">
        <v>100</v>
      </c>
      <c r="E25" s="2" t="s">
        <v>29</v>
      </c>
      <c r="F25" s="2" t="s">
        <v>48</v>
      </c>
      <c r="G25" s="2" t="s">
        <v>17</v>
      </c>
      <c r="H25" s="2" t="s">
        <v>49</v>
      </c>
      <c r="I25" s="2" t="s">
        <v>40</v>
      </c>
      <c r="J25" s="2" t="s">
        <v>83</v>
      </c>
      <c r="K25" s="2"/>
      <c r="L25" s="2" t="s">
        <v>32</v>
      </c>
    </row>
    <row r="26" customFormat="false" ht="12.75" hidden="false" customHeight="false" outlineLevel="0" collapsed="false">
      <c r="A26" s="2" t="s">
        <v>101</v>
      </c>
      <c r="B26" s="3" t="n">
        <v>46195</v>
      </c>
      <c r="C26" s="2" t="s">
        <v>13</v>
      </c>
      <c r="D26" s="2" t="s">
        <v>70</v>
      </c>
      <c r="E26" s="2" t="s">
        <v>52</v>
      </c>
      <c r="F26" s="2" t="s">
        <v>24</v>
      </c>
      <c r="G26" s="2" t="s">
        <v>17</v>
      </c>
      <c r="H26" s="2" t="s">
        <v>18</v>
      </c>
      <c r="I26" s="2" t="s">
        <v>40</v>
      </c>
      <c r="J26" s="2" t="s">
        <v>20</v>
      </c>
      <c r="K26" s="3" t="n">
        <v>46199</v>
      </c>
      <c r="L26" s="2" t="s">
        <v>54</v>
      </c>
    </row>
    <row r="27" customFormat="false" ht="12.75" hidden="false" customHeight="false" outlineLevel="0" collapsed="false">
      <c r="A27" s="2" t="s">
        <v>102</v>
      </c>
      <c r="B27" s="3" t="n">
        <v>46061</v>
      </c>
      <c r="C27" s="2" t="s">
        <v>103</v>
      </c>
      <c r="D27" s="2" t="s">
        <v>51</v>
      </c>
      <c r="E27" s="2" t="s">
        <v>29</v>
      </c>
      <c r="F27" s="2" t="s">
        <v>16</v>
      </c>
      <c r="G27" s="2" t="s">
        <v>17</v>
      </c>
      <c r="H27" s="2" t="s">
        <v>49</v>
      </c>
      <c r="I27" s="2" t="s">
        <v>19</v>
      </c>
      <c r="J27" s="2" t="s">
        <v>20</v>
      </c>
      <c r="K27" s="3" t="n">
        <v>46074</v>
      </c>
      <c r="L27" s="2" t="s">
        <v>104</v>
      </c>
    </row>
    <row r="28" customFormat="false" ht="12.75" hidden="false" customHeight="false" outlineLevel="0" collapsed="false">
      <c r="A28" s="2" t="s">
        <v>105</v>
      </c>
      <c r="B28" s="3" t="n">
        <v>46103</v>
      </c>
      <c r="C28" s="2" t="s">
        <v>28</v>
      </c>
      <c r="D28" s="2" t="s">
        <v>56</v>
      </c>
      <c r="E28" s="2" t="s">
        <v>52</v>
      </c>
      <c r="F28" s="2" t="s">
        <v>48</v>
      </c>
      <c r="G28" s="2" t="s">
        <v>17</v>
      </c>
      <c r="H28" s="2" t="s">
        <v>18</v>
      </c>
      <c r="I28" s="2" t="s">
        <v>53</v>
      </c>
      <c r="J28" s="2" t="s">
        <v>106</v>
      </c>
      <c r="K28" s="2"/>
      <c r="L28" s="2" t="s">
        <v>54</v>
      </c>
    </row>
    <row r="29" customFormat="false" ht="12.75" hidden="false" customHeight="false" outlineLevel="0" collapsed="false">
      <c r="A29" s="2" t="s">
        <v>107</v>
      </c>
      <c r="B29" s="3" t="n">
        <v>46189</v>
      </c>
      <c r="C29" s="2" t="s">
        <v>61</v>
      </c>
      <c r="D29" s="2" t="s">
        <v>62</v>
      </c>
      <c r="E29" s="2" t="s">
        <v>66</v>
      </c>
      <c r="F29" s="2" t="s">
        <v>48</v>
      </c>
      <c r="G29" s="2" t="s">
        <v>17</v>
      </c>
      <c r="H29" s="2" t="s">
        <v>18</v>
      </c>
      <c r="I29" s="2" t="s">
        <v>40</v>
      </c>
      <c r="J29" s="2" t="s">
        <v>108</v>
      </c>
      <c r="K29" s="2"/>
      <c r="L29" s="2" t="s">
        <v>86</v>
      </c>
    </row>
    <row r="30" customFormat="false" ht="12.75" hidden="false" customHeight="false" outlineLevel="0" collapsed="false">
      <c r="A30" s="2" t="s">
        <v>109</v>
      </c>
      <c r="B30" s="3" t="n">
        <v>46099</v>
      </c>
      <c r="C30" s="2" t="s">
        <v>13</v>
      </c>
      <c r="D30" s="2" t="s">
        <v>70</v>
      </c>
      <c r="E30" s="2" t="s">
        <v>52</v>
      </c>
      <c r="F30" s="2" t="s">
        <v>30</v>
      </c>
      <c r="G30" s="2" t="s">
        <v>17</v>
      </c>
      <c r="H30" s="2" t="s">
        <v>110</v>
      </c>
      <c r="I30" s="2" t="s">
        <v>25</v>
      </c>
      <c r="J30" s="2" t="s">
        <v>111</v>
      </c>
      <c r="K30" s="2"/>
      <c r="L30" s="2" t="s">
        <v>88</v>
      </c>
    </row>
    <row r="31" customFormat="false" ht="12.75" hidden="false" customHeight="false" outlineLevel="0" collapsed="false">
      <c r="A31" s="2" t="s">
        <v>112</v>
      </c>
      <c r="B31" s="3" t="n">
        <v>46153</v>
      </c>
      <c r="C31" s="2" t="s">
        <v>113</v>
      </c>
      <c r="D31" s="2" t="s">
        <v>14</v>
      </c>
      <c r="E31" s="2" t="s">
        <v>15</v>
      </c>
      <c r="F31" s="2" t="s">
        <v>24</v>
      </c>
      <c r="G31" s="2" t="s">
        <v>17</v>
      </c>
      <c r="H31" s="2" t="s">
        <v>18</v>
      </c>
      <c r="I31" s="2" t="s">
        <v>81</v>
      </c>
      <c r="J31" s="2" t="s">
        <v>31</v>
      </c>
      <c r="K31" s="3" t="n">
        <v>46154</v>
      </c>
      <c r="L31" s="2" t="s">
        <v>114</v>
      </c>
    </row>
    <row r="32" customFormat="false" ht="12.75" hidden="false" customHeight="false" outlineLevel="0" collapsed="false">
      <c r="A32" s="2" t="s">
        <v>115</v>
      </c>
      <c r="B32" s="3" t="n">
        <v>46068</v>
      </c>
      <c r="C32" s="2" t="s">
        <v>61</v>
      </c>
      <c r="D32" s="2" t="s">
        <v>116</v>
      </c>
      <c r="E32" s="2" t="s">
        <v>29</v>
      </c>
      <c r="F32" s="2" t="s">
        <v>48</v>
      </c>
      <c r="G32" s="2" t="s">
        <v>17</v>
      </c>
      <c r="H32" s="2" t="s">
        <v>18</v>
      </c>
      <c r="I32" s="2" t="s">
        <v>81</v>
      </c>
      <c r="J32" s="2" t="s">
        <v>20</v>
      </c>
      <c r="K32" s="3" t="n">
        <v>46069</v>
      </c>
      <c r="L32" s="2" t="s">
        <v>32</v>
      </c>
    </row>
    <row r="33" customFormat="false" ht="12.75" hidden="false" customHeight="false" outlineLevel="0" collapsed="false">
      <c r="A33" s="2" t="s">
        <v>117</v>
      </c>
      <c r="B33" s="3" t="n">
        <v>46227</v>
      </c>
      <c r="C33" s="2" t="s">
        <v>113</v>
      </c>
      <c r="D33" s="2" t="s">
        <v>100</v>
      </c>
      <c r="E33" s="2" t="s">
        <v>29</v>
      </c>
      <c r="F33" s="2" t="s">
        <v>24</v>
      </c>
      <c r="G33" s="2" t="s">
        <v>17</v>
      </c>
      <c r="H33" s="2" t="s">
        <v>49</v>
      </c>
      <c r="I33" s="2" t="s">
        <v>25</v>
      </c>
      <c r="J33" s="2" t="s">
        <v>20</v>
      </c>
      <c r="K33" s="3" t="n">
        <v>46243</v>
      </c>
      <c r="L33" s="2"/>
    </row>
    <row r="34" customFormat="false" ht="12.75" hidden="false" customHeight="false" outlineLevel="0" collapsed="false">
      <c r="A34" s="2" t="s">
        <v>118</v>
      </c>
      <c r="B34" s="3" t="n">
        <v>46143</v>
      </c>
      <c r="C34" s="2" t="s">
        <v>13</v>
      </c>
      <c r="D34" s="2" t="s">
        <v>65</v>
      </c>
      <c r="E34" s="2" t="s">
        <v>15</v>
      </c>
      <c r="F34" s="2" t="s">
        <v>48</v>
      </c>
      <c r="G34" s="2" t="s">
        <v>17</v>
      </c>
      <c r="H34" s="2" t="s">
        <v>18</v>
      </c>
      <c r="I34" s="2" t="s">
        <v>25</v>
      </c>
      <c r="J34" s="2" t="s">
        <v>58</v>
      </c>
      <c r="K34" s="3" t="n">
        <v>46163</v>
      </c>
      <c r="L34" s="2" t="s">
        <v>114</v>
      </c>
    </row>
    <row r="35" customFormat="false" ht="12.75" hidden="false" customHeight="false" outlineLevel="0" collapsed="false">
      <c r="A35" s="2" t="s">
        <v>119</v>
      </c>
      <c r="B35" s="3" t="n">
        <v>46045</v>
      </c>
      <c r="C35" s="2" t="s">
        <v>43</v>
      </c>
      <c r="D35" s="2" t="s">
        <v>56</v>
      </c>
      <c r="E35" s="2" t="s">
        <v>37</v>
      </c>
      <c r="F35" s="2" t="s">
        <v>24</v>
      </c>
      <c r="G35" s="2" t="s">
        <v>17</v>
      </c>
      <c r="H35" s="2" t="s">
        <v>49</v>
      </c>
      <c r="I35" s="2" t="s">
        <v>81</v>
      </c>
      <c r="J35" s="2" t="s">
        <v>31</v>
      </c>
      <c r="K35" s="3" t="n">
        <v>46073</v>
      </c>
      <c r="L35" s="2" t="s">
        <v>72</v>
      </c>
    </row>
    <row r="36" customFormat="false" ht="12.75" hidden="false" customHeight="false" outlineLevel="0" collapsed="false">
      <c r="A36" s="2" t="s">
        <v>120</v>
      </c>
      <c r="B36" s="3" t="n">
        <v>46061</v>
      </c>
      <c r="C36" s="2" t="s">
        <v>121</v>
      </c>
      <c r="D36" s="2" t="s">
        <v>100</v>
      </c>
      <c r="E36" s="2"/>
      <c r="F36" s="2" t="s">
        <v>24</v>
      </c>
      <c r="G36" s="2" t="s">
        <v>17</v>
      </c>
      <c r="H36" s="2" t="s">
        <v>18</v>
      </c>
      <c r="I36" s="2" t="s">
        <v>40</v>
      </c>
      <c r="J36" s="2" t="s">
        <v>20</v>
      </c>
      <c r="K36" s="3" t="n">
        <v>46067</v>
      </c>
      <c r="L36" s="2" t="s">
        <v>59</v>
      </c>
    </row>
    <row r="37" customFormat="false" ht="12.75" hidden="false" customHeight="false" outlineLevel="0" collapsed="false">
      <c r="A37" s="2" t="s">
        <v>122</v>
      </c>
      <c r="B37" s="3" t="n">
        <v>46057</v>
      </c>
      <c r="C37" s="2" t="s">
        <v>123</v>
      </c>
      <c r="D37" s="2" t="s">
        <v>51</v>
      </c>
      <c r="E37" s="2" t="s">
        <v>52</v>
      </c>
      <c r="F37" s="2" t="s">
        <v>38</v>
      </c>
      <c r="G37" s="2" t="s">
        <v>39</v>
      </c>
      <c r="H37" s="2" t="s">
        <v>49</v>
      </c>
      <c r="I37" s="2" t="s">
        <v>40</v>
      </c>
      <c r="J37" s="2" t="s">
        <v>83</v>
      </c>
      <c r="K37" s="2"/>
      <c r="L37" s="2" t="s">
        <v>41</v>
      </c>
    </row>
    <row r="38" customFormat="false" ht="12.75" hidden="false" customHeight="false" outlineLevel="0" collapsed="false">
      <c r="A38" s="2" t="s">
        <v>124</v>
      </c>
      <c r="B38" s="3" t="n">
        <v>46162</v>
      </c>
      <c r="C38" s="2" t="s">
        <v>13</v>
      </c>
      <c r="D38" s="2" t="s">
        <v>44</v>
      </c>
      <c r="E38" s="2" t="s">
        <v>29</v>
      </c>
      <c r="F38" s="2" t="s">
        <v>16</v>
      </c>
      <c r="G38" s="2" t="s">
        <v>17</v>
      </c>
      <c r="H38" s="2" t="s">
        <v>125</v>
      </c>
      <c r="I38" s="2" t="s">
        <v>40</v>
      </c>
      <c r="J38" s="2" t="s">
        <v>71</v>
      </c>
      <c r="K38" s="3" t="n">
        <v>46190</v>
      </c>
      <c r="L38" s="2" t="s">
        <v>45</v>
      </c>
    </row>
    <row r="39" customFormat="false" ht="12.75" hidden="false" customHeight="false" outlineLevel="0" collapsed="false">
      <c r="A39" s="2" t="s">
        <v>126</v>
      </c>
      <c r="B39" s="3" t="n">
        <v>46069</v>
      </c>
      <c r="C39" s="2" t="s">
        <v>127</v>
      </c>
      <c r="D39" s="2" t="s">
        <v>47</v>
      </c>
      <c r="E39" s="2" t="s">
        <v>37</v>
      </c>
      <c r="F39" s="2" t="s">
        <v>24</v>
      </c>
      <c r="G39" s="2" t="s">
        <v>17</v>
      </c>
      <c r="H39" s="2" t="s">
        <v>18</v>
      </c>
      <c r="I39" s="2" t="s">
        <v>25</v>
      </c>
      <c r="J39" s="2" t="s">
        <v>20</v>
      </c>
      <c r="K39" s="3" t="n">
        <v>46077</v>
      </c>
      <c r="L39" s="2" t="s">
        <v>72</v>
      </c>
    </row>
    <row r="40" customFormat="false" ht="12.75" hidden="false" customHeight="false" outlineLevel="0" collapsed="false">
      <c r="A40" s="2" t="s">
        <v>128</v>
      </c>
      <c r="B40" s="3" t="n">
        <v>46053</v>
      </c>
      <c r="C40" s="2" t="s">
        <v>22</v>
      </c>
      <c r="D40" s="2" t="s">
        <v>56</v>
      </c>
      <c r="E40" s="2" t="s">
        <v>37</v>
      </c>
      <c r="F40" s="2" t="s">
        <v>38</v>
      </c>
      <c r="G40" s="2" t="s">
        <v>39</v>
      </c>
      <c r="H40" s="2" t="s">
        <v>93</v>
      </c>
      <c r="I40" s="2" t="s">
        <v>53</v>
      </c>
      <c r="J40" s="2" t="s">
        <v>129</v>
      </c>
      <c r="K40" s="2"/>
      <c r="L40" s="2" t="s">
        <v>41</v>
      </c>
    </row>
    <row r="41" customFormat="false" ht="12.75" hidden="false" customHeight="false" outlineLevel="0" collapsed="false">
      <c r="A41" s="2" t="s">
        <v>130</v>
      </c>
      <c r="B41" s="3" t="n">
        <v>46153</v>
      </c>
      <c r="C41" s="2" t="s">
        <v>131</v>
      </c>
      <c r="D41" s="2" t="s">
        <v>23</v>
      </c>
      <c r="E41" s="2" t="s">
        <v>66</v>
      </c>
      <c r="F41" s="2" t="s">
        <v>24</v>
      </c>
      <c r="G41" s="2" t="s">
        <v>17</v>
      </c>
      <c r="H41" s="2" t="s">
        <v>49</v>
      </c>
      <c r="I41" s="2" t="s">
        <v>53</v>
      </c>
      <c r="J41" s="2" t="s">
        <v>108</v>
      </c>
      <c r="K41" s="2"/>
      <c r="L41" s="2" t="s">
        <v>67</v>
      </c>
    </row>
    <row r="42" customFormat="false" ht="12.75" hidden="false" customHeight="false" outlineLevel="0" collapsed="false">
      <c r="A42" s="2" t="s">
        <v>132</v>
      </c>
      <c r="B42" s="3" t="n">
        <v>46068</v>
      </c>
      <c r="C42" s="2" t="s">
        <v>127</v>
      </c>
      <c r="D42" s="2" t="s">
        <v>14</v>
      </c>
      <c r="E42" s="2" t="s">
        <v>15</v>
      </c>
      <c r="F42" s="2" t="s">
        <v>48</v>
      </c>
      <c r="G42" s="2" t="s">
        <v>17</v>
      </c>
      <c r="H42" s="2" t="s">
        <v>49</v>
      </c>
      <c r="I42" s="2" t="s">
        <v>40</v>
      </c>
      <c r="J42" s="2" t="s">
        <v>58</v>
      </c>
      <c r="K42" s="2"/>
      <c r="L42" s="2" t="s">
        <v>63</v>
      </c>
    </row>
    <row r="43" customFormat="false" ht="12.75" hidden="false" customHeight="false" outlineLevel="0" collapsed="false">
      <c r="A43" s="2" t="s">
        <v>133</v>
      </c>
      <c r="B43" s="3" t="n">
        <v>46117</v>
      </c>
      <c r="C43" s="2" t="s">
        <v>35</v>
      </c>
      <c r="D43" s="2" t="s">
        <v>100</v>
      </c>
      <c r="E43" s="2" t="s">
        <v>66</v>
      </c>
      <c r="F43" s="2" t="s">
        <v>48</v>
      </c>
      <c r="G43" s="2" t="s">
        <v>17</v>
      </c>
      <c r="H43" s="2" t="s">
        <v>18</v>
      </c>
      <c r="I43" s="2" t="s">
        <v>53</v>
      </c>
      <c r="J43" s="2" t="s">
        <v>134</v>
      </c>
      <c r="K43" s="3" t="n">
        <v>46142</v>
      </c>
      <c r="L43" s="2" t="s">
        <v>67</v>
      </c>
    </row>
    <row r="44" customFormat="false" ht="12.75" hidden="false" customHeight="false" outlineLevel="0" collapsed="false">
      <c r="A44" s="2" t="s">
        <v>135</v>
      </c>
      <c r="B44" s="3" t="n">
        <v>46034</v>
      </c>
      <c r="C44" s="2" t="s">
        <v>28</v>
      </c>
      <c r="D44" s="2" t="s">
        <v>36</v>
      </c>
      <c r="E44" s="2" t="s">
        <v>66</v>
      </c>
      <c r="F44" s="2" t="s">
        <v>48</v>
      </c>
      <c r="G44" s="2" t="s">
        <v>17</v>
      </c>
      <c r="H44" s="2" t="s">
        <v>49</v>
      </c>
      <c r="I44" s="2" t="s">
        <v>19</v>
      </c>
      <c r="J44" s="2" t="s">
        <v>20</v>
      </c>
      <c r="K44" s="3" t="n">
        <v>46054</v>
      </c>
      <c r="L44" s="2" t="s">
        <v>136</v>
      </c>
    </row>
    <row r="45" customFormat="false" ht="12.75" hidden="false" customHeight="false" outlineLevel="0" collapsed="false">
      <c r="A45" s="2" t="s">
        <v>137</v>
      </c>
      <c r="B45" s="3" t="n">
        <v>46113</v>
      </c>
      <c r="C45" s="2" t="s">
        <v>138</v>
      </c>
      <c r="D45" s="2" t="s">
        <v>116</v>
      </c>
      <c r="E45" s="2" t="s">
        <v>52</v>
      </c>
      <c r="F45" s="2" t="s">
        <v>24</v>
      </c>
      <c r="G45" s="2" t="s">
        <v>17</v>
      </c>
      <c r="H45" s="2" t="s">
        <v>18</v>
      </c>
      <c r="I45" s="2" t="s">
        <v>19</v>
      </c>
      <c r="J45" s="2" t="s">
        <v>83</v>
      </c>
      <c r="K45" s="2"/>
      <c r="L45" s="2" t="s">
        <v>88</v>
      </c>
    </row>
    <row r="46" customFormat="false" ht="12.75" hidden="false" customHeight="false" outlineLevel="0" collapsed="false">
      <c r="A46" s="2" t="s">
        <v>139</v>
      </c>
      <c r="B46" s="2" t="s">
        <v>140</v>
      </c>
      <c r="C46" s="2" t="s">
        <v>138</v>
      </c>
      <c r="D46" s="2" t="s">
        <v>100</v>
      </c>
      <c r="E46" s="2" t="s">
        <v>37</v>
      </c>
      <c r="F46" s="2" t="s">
        <v>16</v>
      </c>
      <c r="G46" s="2"/>
      <c r="H46" s="2" t="s">
        <v>18</v>
      </c>
      <c r="I46" s="2" t="s">
        <v>19</v>
      </c>
      <c r="J46" s="2" t="s">
        <v>20</v>
      </c>
      <c r="K46" s="3" t="n">
        <v>46159</v>
      </c>
      <c r="L46" s="2" t="s">
        <v>72</v>
      </c>
    </row>
    <row r="47" customFormat="false" ht="12.75" hidden="false" customHeight="false" outlineLevel="0" collapsed="false">
      <c r="A47" s="2" t="s">
        <v>141</v>
      </c>
      <c r="B47" s="3" t="n">
        <v>46074</v>
      </c>
      <c r="C47" s="2" t="s">
        <v>35</v>
      </c>
      <c r="D47" s="2" t="s">
        <v>100</v>
      </c>
      <c r="E47" s="2" t="s">
        <v>66</v>
      </c>
      <c r="F47" s="2" t="s">
        <v>24</v>
      </c>
      <c r="G47" s="2"/>
      <c r="H47" s="2" t="s">
        <v>18</v>
      </c>
      <c r="I47" s="2" t="s">
        <v>53</v>
      </c>
      <c r="J47" s="2" t="s">
        <v>31</v>
      </c>
      <c r="K47" s="3" t="n">
        <v>46080</v>
      </c>
      <c r="L47" s="2" t="s">
        <v>86</v>
      </c>
    </row>
    <row r="48" customFormat="false" ht="12.75" hidden="false" customHeight="false" outlineLevel="0" collapsed="false">
      <c r="A48" s="2" t="s">
        <v>142</v>
      </c>
      <c r="B48" s="3" t="n">
        <v>46212</v>
      </c>
      <c r="C48" s="2" t="s">
        <v>121</v>
      </c>
      <c r="D48" s="2" t="s">
        <v>62</v>
      </c>
      <c r="E48" s="2" t="s">
        <v>37</v>
      </c>
      <c r="F48" s="2" t="s">
        <v>16</v>
      </c>
      <c r="G48" s="2" t="s">
        <v>17</v>
      </c>
      <c r="H48" s="2" t="s">
        <v>49</v>
      </c>
      <c r="I48" s="2" t="s">
        <v>40</v>
      </c>
      <c r="J48" s="2" t="s">
        <v>83</v>
      </c>
      <c r="K48" s="2"/>
      <c r="L48" s="2" t="s">
        <v>72</v>
      </c>
    </row>
    <row r="49" customFormat="false" ht="12.75" hidden="false" customHeight="false" outlineLevel="0" collapsed="false">
      <c r="A49" s="2" t="s">
        <v>143</v>
      </c>
      <c r="B49" s="3" t="n">
        <v>46085</v>
      </c>
      <c r="C49" s="2" t="s">
        <v>22</v>
      </c>
      <c r="D49" s="2" t="s">
        <v>36</v>
      </c>
      <c r="E49" s="2" t="s">
        <v>37</v>
      </c>
      <c r="F49" s="2" t="s">
        <v>16</v>
      </c>
      <c r="G49" s="2" t="s">
        <v>17</v>
      </c>
      <c r="H49" s="2" t="s">
        <v>49</v>
      </c>
      <c r="I49" s="2" t="s">
        <v>53</v>
      </c>
      <c r="J49" s="2" t="s">
        <v>111</v>
      </c>
      <c r="K49" s="2"/>
      <c r="L49" s="2" t="s">
        <v>144</v>
      </c>
    </row>
    <row r="50" customFormat="false" ht="12.75" hidden="false" customHeight="false" outlineLevel="0" collapsed="false">
      <c r="A50" s="2" t="s">
        <v>145</v>
      </c>
      <c r="B50" s="3" t="n">
        <v>46161</v>
      </c>
      <c r="C50" s="2" t="s">
        <v>61</v>
      </c>
      <c r="D50" s="2" t="s">
        <v>62</v>
      </c>
      <c r="E50" s="2" t="s">
        <v>29</v>
      </c>
      <c r="F50" s="2" t="s">
        <v>48</v>
      </c>
      <c r="G50" s="2" t="s">
        <v>17</v>
      </c>
      <c r="H50" s="2" t="s">
        <v>18</v>
      </c>
      <c r="I50" s="2" t="s">
        <v>53</v>
      </c>
      <c r="J50" s="2" t="s">
        <v>58</v>
      </c>
      <c r="K50" s="2"/>
      <c r="L50" s="2" t="s">
        <v>45</v>
      </c>
    </row>
    <row r="51" customFormat="false" ht="12.75" hidden="false" customHeight="false" outlineLevel="0" collapsed="false">
      <c r="A51" s="2" t="s">
        <v>146</v>
      </c>
      <c r="B51" s="3" t="n">
        <v>46086</v>
      </c>
      <c r="C51" s="2" t="s">
        <v>13</v>
      </c>
      <c r="D51" s="2" t="s">
        <v>23</v>
      </c>
      <c r="E51" s="2" t="s">
        <v>29</v>
      </c>
      <c r="F51" s="2" t="s">
        <v>24</v>
      </c>
      <c r="G51" s="2" t="s">
        <v>17</v>
      </c>
      <c r="H51" s="2" t="s">
        <v>77</v>
      </c>
      <c r="I51" s="2" t="s">
        <v>25</v>
      </c>
      <c r="J51" s="2" t="s">
        <v>20</v>
      </c>
      <c r="K51" s="3" t="n">
        <v>46110</v>
      </c>
      <c r="L51" s="2"/>
    </row>
    <row r="52" customFormat="false" ht="12.75" hidden="false" customHeight="false" outlineLevel="0" collapsed="false">
      <c r="A52" s="2" t="s">
        <v>147</v>
      </c>
      <c r="B52" s="3" t="n">
        <v>46056</v>
      </c>
      <c r="C52" s="2" t="s">
        <v>138</v>
      </c>
      <c r="D52" s="2" t="s">
        <v>23</v>
      </c>
      <c r="E52" s="2" t="s">
        <v>15</v>
      </c>
      <c r="F52" s="2" t="s">
        <v>16</v>
      </c>
      <c r="G52" s="2" t="s">
        <v>17</v>
      </c>
      <c r="H52" s="2" t="s">
        <v>49</v>
      </c>
      <c r="I52" s="2" t="s">
        <v>40</v>
      </c>
      <c r="J52" s="2" t="s">
        <v>20</v>
      </c>
      <c r="K52" s="3" t="n">
        <v>46080</v>
      </c>
      <c r="L52" s="2" t="s">
        <v>78</v>
      </c>
    </row>
    <row r="53" customFormat="false" ht="12.75" hidden="false" customHeight="false" outlineLevel="0" collapsed="false">
      <c r="A53" s="2" t="s">
        <v>148</v>
      </c>
      <c r="B53" s="3" t="n">
        <v>46143</v>
      </c>
      <c r="C53" s="2" t="s">
        <v>35</v>
      </c>
      <c r="D53" s="2" t="s">
        <v>14</v>
      </c>
      <c r="E53" s="2"/>
      <c r="F53" s="2" t="s">
        <v>16</v>
      </c>
      <c r="G53" s="2" t="s">
        <v>17</v>
      </c>
      <c r="H53" s="2" t="s">
        <v>49</v>
      </c>
      <c r="I53" s="2" t="s">
        <v>53</v>
      </c>
      <c r="J53" s="2" t="s">
        <v>20</v>
      </c>
      <c r="K53" s="3" t="n">
        <v>46150</v>
      </c>
      <c r="L53" s="2" t="s">
        <v>88</v>
      </c>
    </row>
    <row r="54" customFormat="false" ht="12.75" hidden="false" customHeight="false" outlineLevel="0" collapsed="false">
      <c r="A54" s="2" t="s">
        <v>149</v>
      </c>
      <c r="B54" s="3" t="n">
        <v>46159</v>
      </c>
      <c r="C54" s="2" t="s">
        <v>43</v>
      </c>
      <c r="D54" s="2" t="s">
        <v>51</v>
      </c>
      <c r="E54" s="2" t="s">
        <v>29</v>
      </c>
      <c r="F54" s="2" t="s">
        <v>30</v>
      </c>
      <c r="G54" s="2" t="s">
        <v>17</v>
      </c>
      <c r="H54" s="2" t="s">
        <v>150</v>
      </c>
      <c r="I54" s="2" t="s">
        <v>40</v>
      </c>
      <c r="J54" s="2" t="s">
        <v>20</v>
      </c>
      <c r="K54" s="2" t="s">
        <v>151</v>
      </c>
      <c r="L54" s="2" t="s">
        <v>32</v>
      </c>
    </row>
    <row r="55" customFormat="false" ht="12.75" hidden="false" customHeight="false" outlineLevel="0" collapsed="false">
      <c r="A55" s="2" t="s">
        <v>152</v>
      </c>
      <c r="B55" s="3" t="n">
        <v>46070</v>
      </c>
      <c r="C55" s="2" t="s">
        <v>35</v>
      </c>
      <c r="D55" s="2" t="s">
        <v>23</v>
      </c>
      <c r="E55" s="2" t="s">
        <v>52</v>
      </c>
      <c r="F55" s="2" t="s">
        <v>24</v>
      </c>
      <c r="G55" s="2" t="s">
        <v>17</v>
      </c>
      <c r="H55" s="2" t="s">
        <v>110</v>
      </c>
      <c r="I55" s="2" t="s">
        <v>40</v>
      </c>
      <c r="J55" s="2" t="s">
        <v>108</v>
      </c>
      <c r="K55" s="2"/>
      <c r="L55" s="2" t="s">
        <v>97</v>
      </c>
    </row>
    <row r="56" customFormat="false" ht="12.75" hidden="false" customHeight="false" outlineLevel="0" collapsed="false">
      <c r="A56" s="2" t="s">
        <v>153</v>
      </c>
      <c r="B56" s="3" t="n">
        <v>46121</v>
      </c>
      <c r="C56" s="2" t="s">
        <v>28</v>
      </c>
      <c r="D56" s="2" t="s">
        <v>154</v>
      </c>
      <c r="E56" s="2" t="s">
        <v>52</v>
      </c>
      <c r="F56" s="2" t="s">
        <v>24</v>
      </c>
      <c r="G56" s="2" t="s">
        <v>17</v>
      </c>
      <c r="H56" s="2" t="s">
        <v>18</v>
      </c>
      <c r="I56" s="2" t="s">
        <v>40</v>
      </c>
      <c r="J56" s="2" t="s">
        <v>20</v>
      </c>
      <c r="K56" s="3" t="n">
        <v>46144</v>
      </c>
      <c r="L56" s="2" t="s">
        <v>97</v>
      </c>
    </row>
    <row r="57" customFormat="false" ht="12.75" hidden="false" customHeight="false" outlineLevel="0" collapsed="false">
      <c r="A57" s="2" t="s">
        <v>155</v>
      </c>
      <c r="B57" s="3" t="n">
        <v>46193</v>
      </c>
      <c r="C57" s="2" t="s">
        <v>103</v>
      </c>
      <c r="D57" s="2" t="s">
        <v>92</v>
      </c>
      <c r="E57" s="2" t="s">
        <v>37</v>
      </c>
      <c r="F57" s="2" t="s">
        <v>24</v>
      </c>
      <c r="G57" s="2" t="s">
        <v>17</v>
      </c>
      <c r="H57" s="2" t="s">
        <v>93</v>
      </c>
      <c r="I57" s="2" t="s">
        <v>40</v>
      </c>
      <c r="J57" s="2" t="s">
        <v>20</v>
      </c>
      <c r="K57" s="3" t="n">
        <v>46210</v>
      </c>
      <c r="L57" s="2" t="s">
        <v>144</v>
      </c>
    </row>
    <row r="58" customFormat="false" ht="12.75" hidden="false" customHeight="false" outlineLevel="0" collapsed="false">
      <c r="A58" s="2" t="s">
        <v>156</v>
      </c>
      <c r="B58" s="3" t="n">
        <v>46039</v>
      </c>
      <c r="C58" s="2" t="s">
        <v>61</v>
      </c>
      <c r="D58" s="2" t="s">
        <v>157</v>
      </c>
      <c r="E58" s="2" t="s">
        <v>52</v>
      </c>
      <c r="F58" s="2" t="s">
        <v>16</v>
      </c>
      <c r="G58" s="2" t="s">
        <v>17</v>
      </c>
      <c r="H58" s="2" t="s">
        <v>49</v>
      </c>
      <c r="I58" s="2" t="s">
        <v>53</v>
      </c>
      <c r="J58" s="2" t="s">
        <v>58</v>
      </c>
      <c r="K58" s="2"/>
      <c r="L58" s="2" t="s">
        <v>97</v>
      </c>
    </row>
    <row r="59" customFormat="false" ht="12.75" hidden="false" customHeight="false" outlineLevel="0" collapsed="false">
      <c r="A59" s="2" t="s">
        <v>158</v>
      </c>
      <c r="B59" s="3" t="n">
        <v>46114</v>
      </c>
      <c r="C59" s="2" t="s">
        <v>28</v>
      </c>
      <c r="D59" s="2" t="s">
        <v>159</v>
      </c>
      <c r="E59" s="2" t="s">
        <v>15</v>
      </c>
      <c r="F59" s="2" t="s">
        <v>24</v>
      </c>
      <c r="G59" s="2" t="s">
        <v>17</v>
      </c>
      <c r="H59" s="2" t="s">
        <v>18</v>
      </c>
      <c r="I59" s="2" t="s">
        <v>53</v>
      </c>
      <c r="J59" s="2" t="s">
        <v>83</v>
      </c>
      <c r="K59" s="2"/>
      <c r="L59" s="2" t="s">
        <v>26</v>
      </c>
    </row>
    <row r="60" customFormat="false" ht="12.75" hidden="false" customHeight="false" outlineLevel="0" collapsed="false">
      <c r="A60" s="2" t="s">
        <v>160</v>
      </c>
      <c r="B60" s="3" t="n">
        <v>46110</v>
      </c>
      <c r="C60" s="2" t="s">
        <v>103</v>
      </c>
      <c r="D60" s="2" t="s">
        <v>116</v>
      </c>
      <c r="E60" s="2" t="s">
        <v>29</v>
      </c>
      <c r="F60" s="2" t="s">
        <v>24</v>
      </c>
      <c r="G60" s="2" t="s">
        <v>17</v>
      </c>
      <c r="H60" s="2" t="s">
        <v>18</v>
      </c>
      <c r="I60" s="2" t="s">
        <v>25</v>
      </c>
      <c r="J60" s="2" t="s">
        <v>20</v>
      </c>
      <c r="K60" s="2" t="s">
        <v>161</v>
      </c>
      <c r="L60" s="2" t="s">
        <v>32</v>
      </c>
    </row>
    <row r="61" customFormat="false" ht="12.75" hidden="false" customHeight="false" outlineLevel="0" collapsed="false">
      <c r="A61" s="2" t="s">
        <v>162</v>
      </c>
      <c r="B61" s="3" t="n">
        <v>46138</v>
      </c>
      <c r="C61" s="2" t="s">
        <v>35</v>
      </c>
      <c r="D61" s="2" t="s">
        <v>47</v>
      </c>
      <c r="E61" s="2" t="s">
        <v>52</v>
      </c>
      <c r="F61" s="2" t="s">
        <v>24</v>
      </c>
      <c r="G61" s="2" t="s">
        <v>17</v>
      </c>
      <c r="H61" s="2" t="s">
        <v>57</v>
      </c>
      <c r="I61" s="2" t="s">
        <v>25</v>
      </c>
      <c r="J61" s="2" t="s">
        <v>83</v>
      </c>
      <c r="K61" s="2"/>
      <c r="L61" s="2" t="s">
        <v>88</v>
      </c>
    </row>
    <row r="62" customFormat="false" ht="12.75" hidden="false" customHeight="false" outlineLevel="0" collapsed="false">
      <c r="A62" s="2" t="s">
        <v>163</v>
      </c>
      <c r="B62" s="3" t="n">
        <v>46216</v>
      </c>
      <c r="C62" s="2" t="s">
        <v>164</v>
      </c>
      <c r="D62" s="2" t="s">
        <v>100</v>
      </c>
      <c r="E62" s="2" t="s">
        <v>29</v>
      </c>
      <c r="F62" s="2" t="s">
        <v>48</v>
      </c>
      <c r="G62" s="2" t="s">
        <v>17</v>
      </c>
      <c r="H62" s="2" t="s">
        <v>18</v>
      </c>
      <c r="I62" s="2" t="s">
        <v>53</v>
      </c>
      <c r="J62" s="2" t="s">
        <v>58</v>
      </c>
      <c r="K62" s="2"/>
      <c r="L62" s="2" t="s">
        <v>32</v>
      </c>
    </row>
    <row r="63" customFormat="false" ht="12.75" hidden="false" customHeight="false" outlineLevel="0" collapsed="false">
      <c r="A63" s="2" t="s">
        <v>165</v>
      </c>
      <c r="B63" s="3" t="n">
        <v>46202</v>
      </c>
      <c r="C63" s="2" t="s">
        <v>28</v>
      </c>
      <c r="D63" s="2" t="s">
        <v>100</v>
      </c>
      <c r="E63" s="2" t="s">
        <v>66</v>
      </c>
      <c r="F63" s="2" t="s">
        <v>30</v>
      </c>
      <c r="G63" s="2" t="s">
        <v>17</v>
      </c>
      <c r="H63" s="2" t="s">
        <v>93</v>
      </c>
      <c r="I63" s="2" t="s">
        <v>25</v>
      </c>
      <c r="J63" s="2" t="s">
        <v>20</v>
      </c>
      <c r="K63" s="3" t="n">
        <v>46218</v>
      </c>
      <c r="L63" s="2" t="s">
        <v>86</v>
      </c>
    </row>
    <row r="64" customFormat="false" ht="12.75" hidden="false" customHeight="false" outlineLevel="0" collapsed="false">
      <c r="A64" s="2" t="s">
        <v>166</v>
      </c>
      <c r="B64" s="3" t="n">
        <v>46147</v>
      </c>
      <c r="C64" s="2" t="s">
        <v>61</v>
      </c>
      <c r="D64" s="2" t="s">
        <v>47</v>
      </c>
      <c r="E64" s="2" t="s">
        <v>52</v>
      </c>
      <c r="F64" s="2" t="s">
        <v>24</v>
      </c>
      <c r="G64" s="2" t="s">
        <v>17</v>
      </c>
      <c r="H64" s="2" t="s">
        <v>49</v>
      </c>
      <c r="I64" s="2" t="s">
        <v>81</v>
      </c>
      <c r="J64" s="2" t="s">
        <v>71</v>
      </c>
      <c r="K64" s="3" t="n">
        <v>46167</v>
      </c>
      <c r="L64" s="2" t="s">
        <v>95</v>
      </c>
    </row>
    <row r="65" customFormat="false" ht="12.75" hidden="false" customHeight="false" outlineLevel="0" collapsed="false">
      <c r="A65" s="2" t="s">
        <v>167</v>
      </c>
      <c r="B65" s="3" t="n">
        <v>46188</v>
      </c>
      <c r="C65" s="2" t="s">
        <v>35</v>
      </c>
      <c r="D65" s="2" t="s">
        <v>44</v>
      </c>
      <c r="E65" s="2" t="s">
        <v>66</v>
      </c>
      <c r="F65" s="2" t="s">
        <v>30</v>
      </c>
      <c r="G65" s="2" t="s">
        <v>17</v>
      </c>
      <c r="H65" s="2" t="s">
        <v>18</v>
      </c>
      <c r="I65" s="2" t="s">
        <v>40</v>
      </c>
      <c r="J65" s="2" t="s">
        <v>71</v>
      </c>
      <c r="K65" s="3" t="n">
        <v>46211</v>
      </c>
      <c r="L65" s="2" t="s">
        <v>86</v>
      </c>
    </row>
    <row r="66" customFormat="false" ht="12.75" hidden="false" customHeight="false" outlineLevel="0" collapsed="false">
      <c r="A66" s="2" t="s">
        <v>168</v>
      </c>
      <c r="B66" s="3" t="n">
        <v>46154</v>
      </c>
      <c r="C66" s="2" t="s">
        <v>61</v>
      </c>
      <c r="D66" s="2" t="s">
        <v>169</v>
      </c>
      <c r="E66" s="2" t="s">
        <v>52</v>
      </c>
      <c r="F66" s="2" t="s">
        <v>38</v>
      </c>
      <c r="G66" s="2" t="s">
        <v>39</v>
      </c>
      <c r="H66" s="2" t="s">
        <v>49</v>
      </c>
      <c r="I66" s="2" t="s">
        <v>25</v>
      </c>
      <c r="J66" s="2" t="s">
        <v>83</v>
      </c>
      <c r="K66" s="2"/>
      <c r="L66" s="2" t="s">
        <v>41</v>
      </c>
    </row>
    <row r="67" customFormat="false" ht="12.75" hidden="false" customHeight="false" outlineLevel="0" collapsed="false">
      <c r="A67" s="2" t="s">
        <v>170</v>
      </c>
      <c r="B67" s="3" t="n">
        <v>46098</v>
      </c>
      <c r="C67" s="2" t="s">
        <v>61</v>
      </c>
      <c r="D67" s="2" t="s">
        <v>44</v>
      </c>
      <c r="E67" s="2"/>
      <c r="F67" s="2" t="s">
        <v>16</v>
      </c>
      <c r="G67" s="2" t="s">
        <v>17</v>
      </c>
      <c r="H67" s="2" t="s">
        <v>18</v>
      </c>
      <c r="I67" s="2" t="s">
        <v>25</v>
      </c>
      <c r="J67" s="2" t="s">
        <v>58</v>
      </c>
      <c r="K67" s="2"/>
      <c r="L67" s="2" t="s">
        <v>32</v>
      </c>
    </row>
    <row r="68" customFormat="false" ht="12.75" hidden="false" customHeight="false" outlineLevel="0" collapsed="false">
      <c r="A68" s="2" t="s">
        <v>171</v>
      </c>
      <c r="B68" s="3" t="n">
        <v>46107</v>
      </c>
      <c r="C68" s="2" t="s">
        <v>131</v>
      </c>
      <c r="D68" s="2" t="s">
        <v>23</v>
      </c>
      <c r="E68" s="2"/>
      <c r="F68" s="2" t="s">
        <v>24</v>
      </c>
      <c r="G68" s="2" t="s">
        <v>17</v>
      </c>
      <c r="H68" s="2" t="s">
        <v>57</v>
      </c>
      <c r="I68" s="2" t="s">
        <v>25</v>
      </c>
      <c r="J68" s="2" t="s">
        <v>134</v>
      </c>
      <c r="K68" s="3" t="n">
        <v>46099</v>
      </c>
      <c r="L68" s="2" t="s">
        <v>104</v>
      </c>
    </row>
    <row r="69" customFormat="false" ht="12.75" hidden="false" customHeight="false" outlineLevel="0" collapsed="false">
      <c r="A69" s="2" t="s">
        <v>172</v>
      </c>
      <c r="B69" s="3" t="n">
        <v>46041</v>
      </c>
      <c r="C69" s="2" t="s">
        <v>103</v>
      </c>
      <c r="D69" s="2" t="s">
        <v>14</v>
      </c>
      <c r="E69" s="2" t="s">
        <v>29</v>
      </c>
      <c r="F69" s="2" t="s">
        <v>24</v>
      </c>
      <c r="G69" s="2" t="s">
        <v>17</v>
      </c>
      <c r="H69" s="2" t="s">
        <v>93</v>
      </c>
      <c r="I69" s="2" t="s">
        <v>40</v>
      </c>
      <c r="J69" s="2" t="s">
        <v>71</v>
      </c>
      <c r="K69" s="3" t="n">
        <v>46066</v>
      </c>
      <c r="L69" s="2" t="s">
        <v>45</v>
      </c>
    </row>
    <row r="70" customFormat="false" ht="12.75" hidden="false" customHeight="false" outlineLevel="0" collapsed="false">
      <c r="A70" s="2" t="s">
        <v>173</v>
      </c>
      <c r="B70" s="3" t="n">
        <v>46070</v>
      </c>
      <c r="C70" s="2" t="s">
        <v>103</v>
      </c>
      <c r="D70" s="2" t="s">
        <v>157</v>
      </c>
      <c r="E70" s="2" t="s">
        <v>52</v>
      </c>
      <c r="F70" s="2" t="s">
        <v>16</v>
      </c>
      <c r="G70" s="2" t="s">
        <v>17</v>
      </c>
      <c r="H70" s="2" t="s">
        <v>18</v>
      </c>
      <c r="I70" s="2" t="s">
        <v>40</v>
      </c>
      <c r="J70" s="2" t="s">
        <v>83</v>
      </c>
      <c r="K70" s="2"/>
      <c r="L70" s="2" t="s">
        <v>54</v>
      </c>
    </row>
    <row r="71" customFormat="false" ht="12.75" hidden="false" customHeight="false" outlineLevel="0" collapsed="false">
      <c r="A71" s="2" t="s">
        <v>174</v>
      </c>
      <c r="B71" s="3" t="n">
        <v>46123</v>
      </c>
      <c r="C71" s="2" t="s">
        <v>61</v>
      </c>
      <c r="D71" s="2" t="s">
        <v>100</v>
      </c>
      <c r="E71" s="2" t="s">
        <v>29</v>
      </c>
      <c r="F71" s="2" t="s">
        <v>30</v>
      </c>
      <c r="G71" s="2" t="s">
        <v>17</v>
      </c>
      <c r="H71" s="2" t="s">
        <v>49</v>
      </c>
      <c r="I71" s="2" t="s">
        <v>40</v>
      </c>
      <c r="J71" s="2" t="s">
        <v>20</v>
      </c>
      <c r="K71" s="3" t="n">
        <v>46138</v>
      </c>
      <c r="L71" s="2" t="s">
        <v>45</v>
      </c>
    </row>
    <row r="72" customFormat="false" ht="12.75" hidden="false" customHeight="false" outlineLevel="0" collapsed="false">
      <c r="A72" s="2" t="s">
        <v>175</v>
      </c>
      <c r="B72" s="3" t="n">
        <v>46181</v>
      </c>
      <c r="C72" s="2" t="s">
        <v>13</v>
      </c>
      <c r="D72" s="2" t="s">
        <v>14</v>
      </c>
      <c r="E72" s="2" t="s">
        <v>29</v>
      </c>
      <c r="F72" s="2" t="s">
        <v>24</v>
      </c>
      <c r="G72" s="2" t="s">
        <v>17</v>
      </c>
      <c r="H72" s="2" t="s">
        <v>18</v>
      </c>
      <c r="I72" s="2" t="s">
        <v>53</v>
      </c>
      <c r="J72" s="2" t="s">
        <v>83</v>
      </c>
      <c r="K72" s="2"/>
      <c r="L72" s="2" t="s">
        <v>104</v>
      </c>
    </row>
    <row r="73" customFormat="false" ht="12.75" hidden="false" customHeight="false" outlineLevel="0" collapsed="false">
      <c r="A73" s="2" t="s">
        <v>176</v>
      </c>
      <c r="B73" s="3" t="n">
        <v>46223</v>
      </c>
      <c r="C73" s="2" t="s">
        <v>61</v>
      </c>
      <c r="D73" s="2" t="s">
        <v>62</v>
      </c>
      <c r="E73" s="2" t="s">
        <v>37</v>
      </c>
      <c r="F73" s="2" t="s">
        <v>16</v>
      </c>
      <c r="G73" s="2" t="s">
        <v>17</v>
      </c>
      <c r="H73" s="2" t="s">
        <v>18</v>
      </c>
      <c r="I73" s="2" t="s">
        <v>40</v>
      </c>
      <c r="J73" s="2" t="s">
        <v>58</v>
      </c>
      <c r="K73" s="2"/>
      <c r="L73" s="2" t="s">
        <v>72</v>
      </c>
    </row>
    <row r="74" customFormat="false" ht="12.75" hidden="false" customHeight="false" outlineLevel="0" collapsed="false">
      <c r="A74" s="2" t="s">
        <v>177</v>
      </c>
      <c r="B74" s="3" t="n">
        <v>46072</v>
      </c>
      <c r="C74" s="2" t="s">
        <v>61</v>
      </c>
      <c r="D74" s="2" t="s">
        <v>23</v>
      </c>
      <c r="E74" s="2" t="s">
        <v>15</v>
      </c>
      <c r="F74" s="2" t="s">
        <v>24</v>
      </c>
      <c r="G74" s="2" t="s">
        <v>17</v>
      </c>
      <c r="H74" s="2" t="s">
        <v>57</v>
      </c>
      <c r="I74" s="2" t="s">
        <v>40</v>
      </c>
      <c r="J74" s="2" t="s">
        <v>20</v>
      </c>
      <c r="K74" s="3" t="n">
        <v>46080</v>
      </c>
      <c r="L74" s="2" t="s">
        <v>26</v>
      </c>
    </row>
    <row r="75" customFormat="false" ht="12.75" hidden="false" customHeight="false" outlineLevel="0" collapsed="false">
      <c r="A75" s="2" t="s">
        <v>178</v>
      </c>
      <c r="B75" s="3" t="n">
        <v>46191</v>
      </c>
      <c r="C75" s="2" t="s">
        <v>35</v>
      </c>
      <c r="D75" s="2" t="s">
        <v>23</v>
      </c>
      <c r="E75" s="2" t="s">
        <v>29</v>
      </c>
      <c r="F75" s="2" t="s">
        <v>16</v>
      </c>
      <c r="G75" s="2" t="s">
        <v>17</v>
      </c>
      <c r="H75" s="2" t="s">
        <v>179</v>
      </c>
      <c r="I75" s="2" t="s">
        <v>53</v>
      </c>
      <c r="J75" s="2" t="s">
        <v>83</v>
      </c>
      <c r="K75" s="2"/>
      <c r="L75" s="2" t="s">
        <v>32</v>
      </c>
    </row>
    <row r="76" customFormat="false" ht="12.75" hidden="false" customHeight="false" outlineLevel="0" collapsed="false">
      <c r="A76" s="2" t="s">
        <v>180</v>
      </c>
      <c r="B76" s="3" t="n">
        <v>46166</v>
      </c>
      <c r="C76" s="2" t="s">
        <v>28</v>
      </c>
      <c r="D76" s="2" t="s">
        <v>92</v>
      </c>
      <c r="E76" s="2" t="s">
        <v>29</v>
      </c>
      <c r="F76" s="2" t="s">
        <v>30</v>
      </c>
      <c r="G76" s="2" t="s">
        <v>17</v>
      </c>
      <c r="H76" s="2" t="s">
        <v>49</v>
      </c>
      <c r="I76" s="2" t="s">
        <v>53</v>
      </c>
      <c r="J76" s="2" t="s">
        <v>20</v>
      </c>
      <c r="K76" s="3" t="n">
        <v>46178</v>
      </c>
      <c r="L76" s="2" t="s">
        <v>45</v>
      </c>
    </row>
    <row r="77" customFormat="false" ht="12.75" hidden="false" customHeight="false" outlineLevel="0" collapsed="false">
      <c r="A77" s="2" t="s">
        <v>181</v>
      </c>
      <c r="B77" s="3" t="n">
        <v>46215</v>
      </c>
      <c r="C77" s="2" t="s">
        <v>103</v>
      </c>
      <c r="D77" s="2" t="s">
        <v>23</v>
      </c>
      <c r="E77" s="2" t="s">
        <v>15</v>
      </c>
      <c r="F77" s="2" t="s">
        <v>24</v>
      </c>
      <c r="G77" s="2" t="s">
        <v>17</v>
      </c>
      <c r="H77" s="2" t="s">
        <v>18</v>
      </c>
      <c r="I77" s="2" t="s">
        <v>81</v>
      </c>
      <c r="J77" s="2" t="s">
        <v>182</v>
      </c>
      <c r="K77" s="2"/>
      <c r="L77" s="2" t="s">
        <v>63</v>
      </c>
    </row>
    <row r="78" customFormat="false" ht="12.75" hidden="false" customHeight="false" outlineLevel="0" collapsed="false">
      <c r="A78" s="2" t="s">
        <v>183</v>
      </c>
      <c r="B78" s="3" t="n">
        <v>46111</v>
      </c>
      <c r="C78" s="2" t="s">
        <v>22</v>
      </c>
      <c r="D78" s="2" t="s">
        <v>51</v>
      </c>
      <c r="E78" s="2" t="s">
        <v>52</v>
      </c>
      <c r="F78" s="2" t="s">
        <v>24</v>
      </c>
      <c r="G78" s="2" t="s">
        <v>17</v>
      </c>
      <c r="H78" s="2" t="s">
        <v>18</v>
      </c>
      <c r="I78" s="2" t="s">
        <v>40</v>
      </c>
      <c r="J78" s="2" t="s">
        <v>58</v>
      </c>
      <c r="K78" s="2"/>
      <c r="L78" s="2" t="s">
        <v>54</v>
      </c>
    </row>
    <row r="79" customFormat="false" ht="12.75" hidden="false" customHeight="false" outlineLevel="0" collapsed="false">
      <c r="A79" s="2" t="s">
        <v>184</v>
      </c>
      <c r="B79" s="3" t="n">
        <v>46199</v>
      </c>
      <c r="C79" s="2" t="s">
        <v>22</v>
      </c>
      <c r="D79" s="2" t="s">
        <v>51</v>
      </c>
      <c r="E79" s="2" t="s">
        <v>37</v>
      </c>
      <c r="F79" s="2" t="s">
        <v>24</v>
      </c>
      <c r="G79" s="2" t="s">
        <v>17</v>
      </c>
      <c r="H79" s="2" t="s">
        <v>18</v>
      </c>
      <c r="I79" s="2"/>
      <c r="J79" s="2" t="s">
        <v>83</v>
      </c>
      <c r="K79" s="2"/>
      <c r="L79" s="2" t="s">
        <v>144</v>
      </c>
    </row>
    <row r="80" customFormat="false" ht="12.75" hidden="false" customHeight="false" outlineLevel="0" collapsed="false">
      <c r="A80" s="2" t="s">
        <v>185</v>
      </c>
      <c r="B80" s="3" t="n">
        <v>46213</v>
      </c>
      <c r="C80" s="2" t="s">
        <v>28</v>
      </c>
      <c r="D80" s="2" t="s">
        <v>100</v>
      </c>
      <c r="E80" s="2" t="s">
        <v>66</v>
      </c>
      <c r="F80" s="2" t="s">
        <v>24</v>
      </c>
      <c r="G80" s="2" t="s">
        <v>17</v>
      </c>
      <c r="H80" s="2" t="s">
        <v>18</v>
      </c>
      <c r="I80" s="2" t="s">
        <v>53</v>
      </c>
      <c r="J80" s="2" t="s">
        <v>20</v>
      </c>
      <c r="K80" s="3" t="n">
        <v>46241</v>
      </c>
      <c r="L80" s="2" t="s">
        <v>136</v>
      </c>
    </row>
    <row r="81" customFormat="false" ht="12.75" hidden="false" customHeight="false" outlineLevel="0" collapsed="false">
      <c r="A81" s="2" t="s">
        <v>186</v>
      </c>
      <c r="B81" s="3" t="n">
        <v>46077</v>
      </c>
      <c r="C81" s="2" t="s">
        <v>13</v>
      </c>
      <c r="D81" s="2" t="s">
        <v>65</v>
      </c>
      <c r="E81" s="2" t="s">
        <v>15</v>
      </c>
      <c r="F81" s="2" t="s">
        <v>30</v>
      </c>
      <c r="G81" s="2" t="s">
        <v>17</v>
      </c>
      <c r="H81" s="2" t="s">
        <v>150</v>
      </c>
      <c r="I81" s="2" t="s">
        <v>53</v>
      </c>
      <c r="J81" s="2" t="s">
        <v>31</v>
      </c>
      <c r="K81" s="3" t="n">
        <v>46099</v>
      </c>
      <c r="L81" s="2" t="s">
        <v>26</v>
      </c>
    </row>
    <row r="82" customFormat="false" ht="12.75" hidden="false" customHeight="false" outlineLevel="0" collapsed="false">
      <c r="A82" s="2" t="s">
        <v>187</v>
      </c>
      <c r="B82" s="3" t="n">
        <v>46065</v>
      </c>
      <c r="C82" s="2" t="s">
        <v>131</v>
      </c>
      <c r="D82" s="2" t="s">
        <v>14</v>
      </c>
      <c r="E82" s="2" t="s">
        <v>52</v>
      </c>
      <c r="F82" s="2" t="s">
        <v>16</v>
      </c>
      <c r="G82" s="2" t="s">
        <v>17</v>
      </c>
      <c r="H82" s="2" t="s">
        <v>18</v>
      </c>
      <c r="I82" s="2" t="s">
        <v>25</v>
      </c>
      <c r="J82" s="2" t="s">
        <v>20</v>
      </c>
      <c r="K82" s="3" t="n">
        <v>46080</v>
      </c>
      <c r="L82" s="2" t="s">
        <v>97</v>
      </c>
    </row>
    <row r="83" customFormat="false" ht="12.75" hidden="false" customHeight="false" outlineLevel="0" collapsed="false">
      <c r="A83" s="2" t="s">
        <v>188</v>
      </c>
      <c r="B83" s="3" t="n">
        <v>46129</v>
      </c>
      <c r="C83" s="2" t="s">
        <v>43</v>
      </c>
      <c r="D83" s="2" t="s">
        <v>14</v>
      </c>
      <c r="E83" s="2" t="s">
        <v>66</v>
      </c>
      <c r="F83" s="2" t="s">
        <v>30</v>
      </c>
      <c r="G83" s="2" t="s">
        <v>17</v>
      </c>
      <c r="H83" s="2" t="s">
        <v>93</v>
      </c>
      <c r="I83" s="2" t="s">
        <v>40</v>
      </c>
      <c r="J83" s="2" t="s">
        <v>20</v>
      </c>
      <c r="K83" s="3" t="n">
        <v>46143</v>
      </c>
      <c r="L83" s="2" t="s">
        <v>67</v>
      </c>
    </row>
    <row r="84" customFormat="false" ht="12.75" hidden="false" customHeight="false" outlineLevel="0" collapsed="false">
      <c r="A84" s="2" t="s">
        <v>189</v>
      </c>
      <c r="B84" s="3" t="n">
        <v>46163</v>
      </c>
      <c r="C84" s="2" t="s">
        <v>35</v>
      </c>
      <c r="D84" s="2" t="s">
        <v>100</v>
      </c>
      <c r="E84" s="2" t="s">
        <v>29</v>
      </c>
      <c r="F84" s="2" t="s">
        <v>16</v>
      </c>
      <c r="G84" s="2" t="s">
        <v>17</v>
      </c>
      <c r="H84" s="2" t="s">
        <v>18</v>
      </c>
      <c r="I84" s="2" t="s">
        <v>40</v>
      </c>
      <c r="J84" s="2" t="s">
        <v>83</v>
      </c>
      <c r="K84" s="2"/>
      <c r="L84" s="2" t="s">
        <v>32</v>
      </c>
    </row>
    <row r="85" customFormat="false" ht="12.75" hidden="false" customHeight="false" outlineLevel="0" collapsed="false">
      <c r="A85" s="2" t="s">
        <v>190</v>
      </c>
      <c r="B85" s="3" t="n">
        <v>46039</v>
      </c>
      <c r="C85" s="2" t="s">
        <v>164</v>
      </c>
      <c r="D85" s="2" t="s">
        <v>14</v>
      </c>
      <c r="E85" s="2" t="s">
        <v>15</v>
      </c>
      <c r="F85" s="2" t="s">
        <v>16</v>
      </c>
      <c r="G85" s="2" t="s">
        <v>17</v>
      </c>
      <c r="H85" s="2" t="s">
        <v>18</v>
      </c>
      <c r="I85" s="2" t="s">
        <v>81</v>
      </c>
      <c r="J85" s="2" t="s">
        <v>58</v>
      </c>
      <c r="K85" s="2"/>
      <c r="L85" s="2" t="s">
        <v>26</v>
      </c>
    </row>
    <row r="86" customFormat="false" ht="12.75" hidden="false" customHeight="false" outlineLevel="0" collapsed="false">
      <c r="A86" s="2" t="s">
        <v>191</v>
      </c>
      <c r="B86" s="3" t="n">
        <v>46164</v>
      </c>
      <c r="C86" s="2" t="s">
        <v>192</v>
      </c>
      <c r="D86" s="2" t="s">
        <v>36</v>
      </c>
      <c r="E86" s="2" t="s">
        <v>15</v>
      </c>
      <c r="F86" s="2" t="s">
        <v>30</v>
      </c>
      <c r="G86" s="2" t="s">
        <v>17</v>
      </c>
      <c r="H86" s="2" t="s">
        <v>18</v>
      </c>
      <c r="I86" s="2" t="s">
        <v>40</v>
      </c>
      <c r="J86" s="2" t="s">
        <v>31</v>
      </c>
      <c r="K86" s="3" t="n">
        <v>46188</v>
      </c>
      <c r="L86" s="2" t="s">
        <v>78</v>
      </c>
    </row>
    <row r="87" customFormat="false" ht="12.75" hidden="false" customHeight="false" outlineLevel="0" collapsed="false">
      <c r="A87" s="2" t="s">
        <v>193</v>
      </c>
      <c r="B87" s="3" t="n">
        <v>46124</v>
      </c>
      <c r="C87" s="2" t="s">
        <v>28</v>
      </c>
      <c r="D87" s="2" t="s">
        <v>23</v>
      </c>
      <c r="E87" s="2" t="s">
        <v>66</v>
      </c>
      <c r="F87" s="2" t="s">
        <v>24</v>
      </c>
      <c r="G87" s="2" t="s">
        <v>17</v>
      </c>
      <c r="H87" s="2" t="s">
        <v>18</v>
      </c>
      <c r="I87" s="2" t="s">
        <v>53</v>
      </c>
      <c r="J87" s="2" t="s">
        <v>58</v>
      </c>
      <c r="K87" s="2"/>
      <c r="L87" s="2" t="s">
        <v>136</v>
      </c>
    </row>
    <row r="88" customFormat="false" ht="12.75" hidden="false" customHeight="false" outlineLevel="0" collapsed="false">
      <c r="A88" s="2" t="s">
        <v>194</v>
      </c>
      <c r="B88" s="3" t="n">
        <v>46190</v>
      </c>
      <c r="C88" s="2" t="s">
        <v>13</v>
      </c>
      <c r="D88" s="2" t="s">
        <v>70</v>
      </c>
      <c r="E88" s="2" t="s">
        <v>29</v>
      </c>
      <c r="F88" s="2" t="s">
        <v>30</v>
      </c>
      <c r="G88" s="2" t="s">
        <v>17</v>
      </c>
      <c r="H88" s="2" t="s">
        <v>179</v>
      </c>
      <c r="I88" s="2" t="s">
        <v>25</v>
      </c>
      <c r="J88" s="2" t="s">
        <v>20</v>
      </c>
      <c r="K88" s="3" t="n">
        <v>46197</v>
      </c>
      <c r="L88" s="2" t="s">
        <v>104</v>
      </c>
    </row>
    <row r="89" customFormat="false" ht="12.75" hidden="false" customHeight="false" outlineLevel="0" collapsed="false">
      <c r="A89" s="2" t="s">
        <v>195</v>
      </c>
      <c r="B89" s="3" t="n">
        <v>46089</v>
      </c>
      <c r="C89" s="2" t="s">
        <v>127</v>
      </c>
      <c r="D89" s="2" t="s">
        <v>70</v>
      </c>
      <c r="E89" s="2"/>
      <c r="F89" s="2" t="s">
        <v>24</v>
      </c>
      <c r="G89" s="2" t="s">
        <v>17</v>
      </c>
      <c r="H89" s="2" t="s">
        <v>49</v>
      </c>
      <c r="I89" s="2" t="s">
        <v>53</v>
      </c>
      <c r="J89" s="2" t="s">
        <v>134</v>
      </c>
      <c r="K89" s="3" t="n">
        <v>46113</v>
      </c>
      <c r="L89" s="2" t="s">
        <v>72</v>
      </c>
    </row>
    <row r="90" customFormat="false" ht="12.75" hidden="false" customHeight="false" outlineLevel="0" collapsed="false">
      <c r="A90" s="2" t="s">
        <v>196</v>
      </c>
      <c r="B90" s="3" t="n">
        <v>46074</v>
      </c>
      <c r="C90" s="2" t="s">
        <v>13</v>
      </c>
      <c r="D90" s="2" t="s">
        <v>23</v>
      </c>
      <c r="E90" s="2" t="s">
        <v>66</v>
      </c>
      <c r="F90" s="2" t="s">
        <v>16</v>
      </c>
      <c r="G90" s="2" t="s">
        <v>17</v>
      </c>
      <c r="H90" s="2" t="s">
        <v>49</v>
      </c>
      <c r="I90" s="2" t="s">
        <v>81</v>
      </c>
      <c r="J90" s="2" t="s">
        <v>108</v>
      </c>
      <c r="K90" s="2"/>
      <c r="L90" s="2" t="s">
        <v>67</v>
      </c>
    </row>
    <row r="91" customFormat="false" ht="12.75" hidden="false" customHeight="false" outlineLevel="0" collapsed="false">
      <c r="A91" s="2" t="s">
        <v>197</v>
      </c>
      <c r="B91" s="3" t="n">
        <v>46115</v>
      </c>
      <c r="C91" s="2" t="s">
        <v>35</v>
      </c>
      <c r="D91" s="2" t="s">
        <v>14</v>
      </c>
      <c r="E91" s="2" t="s">
        <v>37</v>
      </c>
      <c r="F91" s="2" t="s">
        <v>24</v>
      </c>
      <c r="G91" s="2" t="s">
        <v>17</v>
      </c>
      <c r="H91" s="2" t="s">
        <v>18</v>
      </c>
      <c r="I91" s="2" t="s">
        <v>53</v>
      </c>
      <c r="J91" s="2" t="s">
        <v>83</v>
      </c>
      <c r="K91" s="3" t="n">
        <v>46119</v>
      </c>
      <c r="L91" s="2" t="s">
        <v>144</v>
      </c>
    </row>
    <row r="92" customFormat="false" ht="12.75" hidden="false" customHeight="false" outlineLevel="0" collapsed="false">
      <c r="A92" s="2" t="s">
        <v>198</v>
      </c>
      <c r="B92" s="3" t="n">
        <v>46094</v>
      </c>
      <c r="C92" s="2" t="s">
        <v>43</v>
      </c>
      <c r="D92" s="2" t="s">
        <v>44</v>
      </c>
      <c r="E92" s="2" t="s">
        <v>66</v>
      </c>
      <c r="F92" s="2" t="s">
        <v>24</v>
      </c>
      <c r="G92" s="2" t="s">
        <v>17</v>
      </c>
      <c r="H92" s="2" t="s">
        <v>49</v>
      </c>
      <c r="I92" s="2" t="s">
        <v>40</v>
      </c>
      <c r="J92" s="2" t="s">
        <v>58</v>
      </c>
      <c r="K92" s="2"/>
      <c r="L92" s="2" t="s">
        <v>136</v>
      </c>
    </row>
    <row r="93" customFormat="false" ht="12.75" hidden="false" customHeight="false" outlineLevel="0" collapsed="false">
      <c r="A93" s="2" t="s">
        <v>199</v>
      </c>
      <c r="B93" s="3" t="n">
        <v>46082</v>
      </c>
      <c r="C93" s="2" t="s">
        <v>22</v>
      </c>
      <c r="D93" s="2" t="s">
        <v>51</v>
      </c>
      <c r="E93" s="2" t="s">
        <v>15</v>
      </c>
      <c r="F93" s="2" t="s">
        <v>24</v>
      </c>
      <c r="G93" s="2" t="s">
        <v>17</v>
      </c>
      <c r="H93" s="2" t="s">
        <v>18</v>
      </c>
      <c r="I93" s="2" t="s">
        <v>40</v>
      </c>
      <c r="J93" s="2" t="s">
        <v>58</v>
      </c>
      <c r="K93" s="2"/>
      <c r="L93" s="2" t="s">
        <v>114</v>
      </c>
    </row>
    <row r="94" customFormat="false" ht="12.75" hidden="false" customHeight="false" outlineLevel="0" collapsed="false">
      <c r="A94" s="2" t="s">
        <v>200</v>
      </c>
      <c r="B94" s="3" t="n">
        <v>46102</v>
      </c>
      <c r="C94" s="2" t="s">
        <v>13</v>
      </c>
      <c r="D94" s="2" t="s">
        <v>70</v>
      </c>
      <c r="E94" s="2" t="s">
        <v>15</v>
      </c>
      <c r="F94" s="2" t="s">
        <v>16</v>
      </c>
      <c r="G94" s="2" t="s">
        <v>17</v>
      </c>
      <c r="H94" s="2" t="s">
        <v>18</v>
      </c>
      <c r="I94" s="2" t="s">
        <v>40</v>
      </c>
      <c r="J94" s="2" t="s">
        <v>31</v>
      </c>
      <c r="K94" s="3" t="n">
        <v>46128</v>
      </c>
      <c r="L94" s="2" t="s">
        <v>63</v>
      </c>
    </row>
    <row r="95" customFormat="false" ht="12.75" hidden="false" customHeight="false" outlineLevel="0" collapsed="false">
      <c r="A95" s="2" t="s">
        <v>201</v>
      </c>
      <c r="B95" s="3" t="n">
        <v>46114</v>
      </c>
      <c r="C95" s="2" t="s">
        <v>202</v>
      </c>
      <c r="D95" s="2" t="s">
        <v>203</v>
      </c>
      <c r="E95" s="2" t="s">
        <v>52</v>
      </c>
      <c r="F95" s="2" t="s">
        <v>16</v>
      </c>
      <c r="G95" s="2" t="s">
        <v>17</v>
      </c>
      <c r="H95" s="2" t="s">
        <v>18</v>
      </c>
      <c r="I95" s="2" t="s">
        <v>81</v>
      </c>
      <c r="J95" s="2" t="s">
        <v>20</v>
      </c>
      <c r="K95" s="3" t="n">
        <v>46115</v>
      </c>
      <c r="L95" s="2" t="s">
        <v>95</v>
      </c>
    </row>
    <row r="96" customFormat="false" ht="12.75" hidden="false" customHeight="false" outlineLevel="0" collapsed="false">
      <c r="A96" s="2" t="s">
        <v>204</v>
      </c>
      <c r="B96" s="3" t="n">
        <v>46197</v>
      </c>
      <c r="C96" s="2" t="s">
        <v>205</v>
      </c>
      <c r="D96" s="2" t="s">
        <v>36</v>
      </c>
      <c r="E96" s="2" t="s">
        <v>29</v>
      </c>
      <c r="F96" s="2" t="s">
        <v>16</v>
      </c>
      <c r="G96" s="2" t="s">
        <v>17</v>
      </c>
      <c r="H96" s="2" t="s">
        <v>57</v>
      </c>
      <c r="I96" s="2" t="s">
        <v>40</v>
      </c>
      <c r="J96" s="2" t="s">
        <v>20</v>
      </c>
      <c r="K96" s="3" t="n">
        <v>46202</v>
      </c>
      <c r="L96" s="2" t="s">
        <v>104</v>
      </c>
    </row>
    <row r="97" customFormat="false" ht="12.75" hidden="false" customHeight="false" outlineLevel="0" collapsed="false">
      <c r="A97" s="2" t="s">
        <v>206</v>
      </c>
      <c r="B97" s="3" t="n">
        <v>46163</v>
      </c>
      <c r="C97" s="2" t="s">
        <v>202</v>
      </c>
      <c r="D97" s="2" t="s">
        <v>23</v>
      </c>
      <c r="E97" s="2" t="s">
        <v>29</v>
      </c>
      <c r="F97" s="2" t="s">
        <v>48</v>
      </c>
      <c r="G97" s="2" t="s">
        <v>17</v>
      </c>
      <c r="H97" s="2" t="s">
        <v>49</v>
      </c>
      <c r="I97" s="2" t="s">
        <v>40</v>
      </c>
      <c r="J97" s="2" t="s">
        <v>20</v>
      </c>
      <c r="K97" s="3" t="n">
        <v>46178</v>
      </c>
      <c r="L97" s="2" t="s">
        <v>104</v>
      </c>
    </row>
    <row r="98" customFormat="false" ht="12.75" hidden="false" customHeight="false" outlineLevel="0" collapsed="false">
      <c r="A98" s="2" t="s">
        <v>207</v>
      </c>
      <c r="B98" s="3" t="n">
        <v>46050</v>
      </c>
      <c r="C98" s="2" t="s">
        <v>61</v>
      </c>
      <c r="D98" s="2" t="s">
        <v>51</v>
      </c>
      <c r="E98" s="2" t="s">
        <v>37</v>
      </c>
      <c r="F98" s="2" t="s">
        <v>16</v>
      </c>
      <c r="G98" s="2" t="s">
        <v>17</v>
      </c>
      <c r="H98" s="2" t="s">
        <v>49</v>
      </c>
      <c r="I98" s="2" t="s">
        <v>40</v>
      </c>
      <c r="J98" s="2" t="s">
        <v>134</v>
      </c>
      <c r="K98" s="3" t="n">
        <v>46063</v>
      </c>
      <c r="L98" s="2" t="s">
        <v>72</v>
      </c>
    </row>
    <row r="99" customFormat="false" ht="12.75" hidden="false" customHeight="false" outlineLevel="0" collapsed="false">
      <c r="A99" s="2" t="s">
        <v>208</v>
      </c>
      <c r="B99" s="3" t="n">
        <v>46203</v>
      </c>
      <c r="C99" s="2" t="s">
        <v>61</v>
      </c>
      <c r="D99" s="2" t="s">
        <v>154</v>
      </c>
      <c r="E99" s="2" t="s">
        <v>66</v>
      </c>
      <c r="F99" s="2" t="s">
        <v>24</v>
      </c>
      <c r="G99" s="2" t="s">
        <v>17</v>
      </c>
      <c r="H99" s="2" t="s">
        <v>18</v>
      </c>
      <c r="I99" s="2" t="s">
        <v>25</v>
      </c>
      <c r="J99" s="2" t="s">
        <v>20</v>
      </c>
      <c r="K99" s="3" t="n">
        <v>46209</v>
      </c>
      <c r="L99" s="2" t="s">
        <v>136</v>
      </c>
    </row>
    <row r="100" customFormat="false" ht="12.75" hidden="false" customHeight="false" outlineLevel="0" collapsed="false">
      <c r="A100" s="2" t="s">
        <v>209</v>
      </c>
      <c r="B100" s="3" t="n">
        <v>46030</v>
      </c>
      <c r="C100" s="2" t="s">
        <v>61</v>
      </c>
      <c r="D100" s="2" t="s">
        <v>56</v>
      </c>
      <c r="E100" s="2" t="s">
        <v>66</v>
      </c>
      <c r="F100" s="2" t="s">
        <v>38</v>
      </c>
      <c r="G100" s="2" t="s">
        <v>39</v>
      </c>
      <c r="H100" s="2" t="s">
        <v>49</v>
      </c>
      <c r="I100" s="2" t="s">
        <v>40</v>
      </c>
      <c r="J100" s="2" t="s">
        <v>20</v>
      </c>
      <c r="K100" s="3" t="n">
        <v>46053</v>
      </c>
      <c r="L100" s="2" t="s">
        <v>41</v>
      </c>
    </row>
    <row r="101" customFormat="false" ht="12.75" hidden="false" customHeight="false" outlineLevel="0" collapsed="false">
      <c r="A101" s="2" t="s">
        <v>210</v>
      </c>
      <c r="B101" s="3" t="n">
        <v>46191</v>
      </c>
      <c r="C101" s="2" t="s">
        <v>61</v>
      </c>
      <c r="D101" s="2" t="s">
        <v>100</v>
      </c>
      <c r="E101" s="2" t="s">
        <v>29</v>
      </c>
      <c r="F101" s="2" t="s">
        <v>48</v>
      </c>
      <c r="G101" s="2" t="s">
        <v>17</v>
      </c>
      <c r="H101" s="2" t="s">
        <v>150</v>
      </c>
      <c r="I101" s="2" t="s">
        <v>53</v>
      </c>
      <c r="J101" s="2" t="s">
        <v>83</v>
      </c>
      <c r="K101" s="2"/>
      <c r="L101" s="2" t="s">
        <v>45</v>
      </c>
    </row>
    <row r="102" customFormat="false" ht="12.75" hidden="false" customHeight="false" outlineLevel="0" collapsed="false">
      <c r="A102" s="2" t="s">
        <v>211</v>
      </c>
      <c r="B102" s="3" t="n">
        <v>46074</v>
      </c>
      <c r="C102" s="2" t="s">
        <v>22</v>
      </c>
      <c r="D102" s="2" t="s">
        <v>56</v>
      </c>
      <c r="E102" s="2" t="s">
        <v>66</v>
      </c>
      <c r="F102" s="2" t="s">
        <v>30</v>
      </c>
      <c r="G102" s="2" t="s">
        <v>17</v>
      </c>
      <c r="H102" s="2" t="s">
        <v>18</v>
      </c>
      <c r="I102" s="2" t="s">
        <v>53</v>
      </c>
      <c r="J102" s="2" t="s">
        <v>108</v>
      </c>
      <c r="K102" s="2"/>
      <c r="L102" s="2" t="s">
        <v>136</v>
      </c>
    </row>
    <row r="103" customFormat="false" ht="12.75" hidden="false" customHeight="false" outlineLevel="0" collapsed="false">
      <c r="A103" s="2" t="s">
        <v>212</v>
      </c>
      <c r="B103" s="3" t="n">
        <v>46167</v>
      </c>
      <c r="C103" s="2" t="s">
        <v>69</v>
      </c>
      <c r="D103" s="2" t="s">
        <v>14</v>
      </c>
      <c r="E103" s="2" t="s">
        <v>15</v>
      </c>
      <c r="F103" s="2" t="s">
        <v>30</v>
      </c>
      <c r="G103" s="2"/>
      <c r="H103" s="2" t="s">
        <v>150</v>
      </c>
      <c r="I103" s="2" t="s">
        <v>53</v>
      </c>
      <c r="J103" s="2" t="s">
        <v>213</v>
      </c>
      <c r="K103" s="2"/>
      <c r="L103" s="2" t="s">
        <v>63</v>
      </c>
    </row>
    <row r="104" customFormat="false" ht="12.75" hidden="false" customHeight="false" outlineLevel="0" collapsed="false">
      <c r="A104" s="2" t="s">
        <v>214</v>
      </c>
      <c r="B104" s="3" t="n">
        <v>46106</v>
      </c>
      <c r="C104" s="2" t="s">
        <v>164</v>
      </c>
      <c r="D104" s="2" t="s">
        <v>215</v>
      </c>
      <c r="E104" s="2" t="s">
        <v>66</v>
      </c>
      <c r="F104" s="2" t="s">
        <v>48</v>
      </c>
      <c r="G104" s="2"/>
      <c r="H104" s="2" t="s">
        <v>18</v>
      </c>
      <c r="I104" s="2" t="s">
        <v>40</v>
      </c>
      <c r="J104" s="2" t="s">
        <v>58</v>
      </c>
      <c r="K104" s="2"/>
      <c r="L104" s="2" t="s">
        <v>136</v>
      </c>
    </row>
    <row r="105" customFormat="false" ht="12.75" hidden="false" customHeight="false" outlineLevel="0" collapsed="false">
      <c r="A105" s="2" t="s">
        <v>216</v>
      </c>
      <c r="B105" s="3" t="n">
        <v>46174</v>
      </c>
      <c r="C105" s="2" t="s">
        <v>13</v>
      </c>
      <c r="D105" s="2" t="s">
        <v>85</v>
      </c>
      <c r="E105" s="2" t="s">
        <v>29</v>
      </c>
      <c r="F105" s="2" t="s">
        <v>24</v>
      </c>
      <c r="G105" s="2" t="s">
        <v>17</v>
      </c>
      <c r="H105" s="2" t="s">
        <v>150</v>
      </c>
      <c r="I105" s="2" t="s">
        <v>40</v>
      </c>
      <c r="J105" s="2" t="s">
        <v>31</v>
      </c>
      <c r="K105" s="3" t="n">
        <v>46193</v>
      </c>
      <c r="L105" s="2" t="s">
        <v>104</v>
      </c>
    </row>
    <row r="106" customFormat="false" ht="12.75" hidden="false" customHeight="false" outlineLevel="0" collapsed="false">
      <c r="A106" s="2" t="s">
        <v>217</v>
      </c>
      <c r="B106" s="3" t="n">
        <v>46195</v>
      </c>
      <c r="C106" s="2" t="s">
        <v>131</v>
      </c>
      <c r="D106" s="2" t="s">
        <v>56</v>
      </c>
      <c r="E106" s="2" t="s">
        <v>66</v>
      </c>
      <c r="F106" s="2" t="s">
        <v>16</v>
      </c>
      <c r="G106" s="2" t="s">
        <v>17</v>
      </c>
      <c r="H106" s="2" t="s">
        <v>18</v>
      </c>
      <c r="I106" s="2" t="s">
        <v>25</v>
      </c>
      <c r="J106" s="2" t="s">
        <v>20</v>
      </c>
      <c r="K106" s="2"/>
      <c r="L106" s="2" t="s">
        <v>67</v>
      </c>
    </row>
    <row r="107" customFormat="false" ht="12.75" hidden="false" customHeight="false" outlineLevel="0" collapsed="false">
      <c r="A107" s="2" t="s">
        <v>218</v>
      </c>
      <c r="B107" s="3" t="n">
        <v>46044</v>
      </c>
      <c r="C107" s="2" t="s">
        <v>22</v>
      </c>
      <c r="D107" s="2" t="s">
        <v>56</v>
      </c>
      <c r="E107" s="2"/>
      <c r="F107" s="2" t="s">
        <v>16</v>
      </c>
      <c r="G107" s="2" t="s">
        <v>17</v>
      </c>
      <c r="H107" s="2" t="s">
        <v>18</v>
      </c>
      <c r="I107" s="2" t="s">
        <v>19</v>
      </c>
      <c r="J107" s="2" t="s">
        <v>20</v>
      </c>
      <c r="K107" s="3" t="n">
        <v>46065</v>
      </c>
      <c r="L107" s="2" t="s">
        <v>88</v>
      </c>
    </row>
    <row r="108" customFormat="false" ht="12.75" hidden="false" customHeight="false" outlineLevel="0" collapsed="false">
      <c r="A108" s="2" t="s">
        <v>219</v>
      </c>
      <c r="B108" s="3" t="n">
        <v>46091</v>
      </c>
      <c r="C108" s="2" t="s">
        <v>35</v>
      </c>
      <c r="D108" s="2" t="s">
        <v>14</v>
      </c>
      <c r="E108" s="2" t="s">
        <v>15</v>
      </c>
      <c r="F108" s="2" t="s">
        <v>30</v>
      </c>
      <c r="G108" s="2" t="s">
        <v>17</v>
      </c>
      <c r="H108" s="2" t="s">
        <v>18</v>
      </c>
      <c r="I108" s="2" t="s">
        <v>81</v>
      </c>
      <c r="J108" s="2" t="s">
        <v>20</v>
      </c>
      <c r="K108" s="3" t="n">
        <v>46098</v>
      </c>
      <c r="L108" s="2" t="s">
        <v>114</v>
      </c>
    </row>
    <row r="109" customFormat="false" ht="12.75" hidden="false" customHeight="false" outlineLevel="0" collapsed="false">
      <c r="A109" s="2" t="s">
        <v>220</v>
      </c>
      <c r="B109" s="3" t="n">
        <v>46048</v>
      </c>
      <c r="C109" s="2" t="s">
        <v>28</v>
      </c>
      <c r="D109" s="2" t="s">
        <v>14</v>
      </c>
      <c r="E109" s="2" t="s">
        <v>37</v>
      </c>
      <c r="F109" s="2" t="s">
        <v>48</v>
      </c>
      <c r="G109" s="2" t="s">
        <v>17</v>
      </c>
      <c r="H109" s="2" t="s">
        <v>18</v>
      </c>
      <c r="I109" s="2" t="s">
        <v>53</v>
      </c>
      <c r="J109" s="2" t="s">
        <v>129</v>
      </c>
      <c r="K109" s="2"/>
      <c r="L109" s="2" t="s">
        <v>59</v>
      </c>
    </row>
    <row r="110" customFormat="false" ht="12.75" hidden="false" customHeight="false" outlineLevel="0" collapsed="false">
      <c r="A110" s="2" t="s">
        <v>221</v>
      </c>
      <c r="B110" s="3" t="n">
        <v>46134</v>
      </c>
      <c r="C110" s="2" t="s">
        <v>35</v>
      </c>
      <c r="D110" s="2" t="s">
        <v>14</v>
      </c>
      <c r="E110" s="2" t="s">
        <v>37</v>
      </c>
      <c r="F110" s="2" t="s">
        <v>24</v>
      </c>
      <c r="G110" s="2" t="s">
        <v>17</v>
      </c>
      <c r="H110" s="2" t="s">
        <v>18</v>
      </c>
      <c r="I110" s="2" t="s">
        <v>53</v>
      </c>
      <c r="J110" s="2" t="s">
        <v>106</v>
      </c>
      <c r="K110" s="2"/>
      <c r="L110" s="2" t="s">
        <v>144</v>
      </c>
    </row>
    <row r="111" customFormat="false" ht="12.75" hidden="false" customHeight="false" outlineLevel="0" collapsed="false">
      <c r="A111" s="2" t="s">
        <v>222</v>
      </c>
      <c r="B111" s="3" t="n">
        <v>46176</v>
      </c>
      <c r="C111" s="2" t="s">
        <v>13</v>
      </c>
      <c r="D111" s="2" t="s">
        <v>51</v>
      </c>
      <c r="E111" s="2" t="s">
        <v>37</v>
      </c>
      <c r="F111" s="2" t="s">
        <v>30</v>
      </c>
      <c r="G111" s="2" t="s">
        <v>17</v>
      </c>
      <c r="H111" s="2" t="s">
        <v>49</v>
      </c>
      <c r="I111" s="2" t="s">
        <v>53</v>
      </c>
      <c r="J111" s="2" t="s">
        <v>20</v>
      </c>
      <c r="K111" s="3" t="n">
        <v>46184</v>
      </c>
      <c r="L111" s="2" t="s">
        <v>59</v>
      </c>
    </row>
    <row r="112" customFormat="false" ht="12.75" hidden="false" customHeight="false" outlineLevel="0" collapsed="false">
      <c r="A112" s="2" t="s">
        <v>223</v>
      </c>
      <c r="B112" s="3" t="n">
        <v>46098</v>
      </c>
      <c r="C112" s="2" t="s">
        <v>28</v>
      </c>
      <c r="D112" s="2" t="s">
        <v>47</v>
      </c>
      <c r="E112" s="2" t="s">
        <v>29</v>
      </c>
      <c r="F112" s="2" t="s">
        <v>16</v>
      </c>
      <c r="G112" s="2" t="s">
        <v>17</v>
      </c>
      <c r="H112" s="2" t="s">
        <v>80</v>
      </c>
      <c r="I112" s="2" t="s">
        <v>53</v>
      </c>
      <c r="J112" s="2" t="s">
        <v>20</v>
      </c>
      <c r="K112" s="3" t="n">
        <v>46110</v>
      </c>
      <c r="L112" s="2" t="s">
        <v>104</v>
      </c>
    </row>
    <row r="113" customFormat="false" ht="12.75" hidden="false" customHeight="false" outlineLevel="0" collapsed="false">
      <c r="A113" s="2" t="s">
        <v>224</v>
      </c>
      <c r="B113" s="3" t="n">
        <v>46030</v>
      </c>
      <c r="C113" s="2" t="s">
        <v>35</v>
      </c>
      <c r="D113" s="2" t="s">
        <v>92</v>
      </c>
      <c r="E113" s="2" t="s">
        <v>29</v>
      </c>
      <c r="F113" s="2" t="s">
        <v>16</v>
      </c>
      <c r="G113" s="2" t="s">
        <v>17</v>
      </c>
      <c r="H113" s="2" t="s">
        <v>49</v>
      </c>
      <c r="I113" s="2" t="s">
        <v>25</v>
      </c>
      <c r="J113" s="2" t="s">
        <v>134</v>
      </c>
      <c r="K113" s="3" t="n">
        <v>46047</v>
      </c>
      <c r="L113" s="2" t="s">
        <v>32</v>
      </c>
    </row>
    <row r="114" customFormat="false" ht="12.75" hidden="false" customHeight="false" outlineLevel="0" collapsed="false">
      <c r="A114" s="2" t="s">
        <v>225</v>
      </c>
      <c r="B114" s="2" t="s">
        <v>226</v>
      </c>
      <c r="C114" s="2" t="s">
        <v>61</v>
      </c>
      <c r="D114" s="2" t="s">
        <v>70</v>
      </c>
      <c r="E114" s="2" t="s">
        <v>29</v>
      </c>
      <c r="F114" s="2" t="s">
        <v>24</v>
      </c>
      <c r="G114" s="2" t="s">
        <v>17</v>
      </c>
      <c r="H114" s="2" t="s">
        <v>18</v>
      </c>
      <c r="I114" s="2" t="s">
        <v>53</v>
      </c>
      <c r="J114" s="2" t="s">
        <v>58</v>
      </c>
      <c r="K114" s="2"/>
      <c r="L114" s="2" t="s">
        <v>45</v>
      </c>
    </row>
    <row r="115" customFormat="false" ht="12.75" hidden="false" customHeight="false" outlineLevel="0" collapsed="false">
      <c r="A115" s="2" t="s">
        <v>227</v>
      </c>
      <c r="B115" s="3" t="n">
        <v>46089</v>
      </c>
      <c r="C115" s="2" t="s">
        <v>28</v>
      </c>
      <c r="D115" s="2" t="s">
        <v>14</v>
      </c>
      <c r="E115" s="2"/>
      <c r="F115" s="2" t="s">
        <v>24</v>
      </c>
      <c r="G115" s="2" t="s">
        <v>17</v>
      </c>
      <c r="H115" s="2" t="s">
        <v>49</v>
      </c>
      <c r="I115" s="2" t="s">
        <v>81</v>
      </c>
      <c r="J115" s="2" t="s">
        <v>111</v>
      </c>
      <c r="K115" s="2"/>
      <c r="L115" s="2" t="s">
        <v>67</v>
      </c>
    </row>
    <row r="116" customFormat="false" ht="12.75" hidden="false" customHeight="false" outlineLevel="0" collapsed="false">
      <c r="A116" s="2" t="s">
        <v>228</v>
      </c>
      <c r="B116" s="3" t="n">
        <v>46201</v>
      </c>
      <c r="C116" s="2" t="s">
        <v>13</v>
      </c>
      <c r="D116" s="2" t="s">
        <v>51</v>
      </c>
      <c r="E116" s="2" t="s">
        <v>52</v>
      </c>
      <c r="F116" s="2" t="s">
        <v>38</v>
      </c>
      <c r="G116" s="2" t="s">
        <v>39</v>
      </c>
      <c r="H116" s="2" t="s">
        <v>49</v>
      </c>
      <c r="I116" s="2" t="s">
        <v>19</v>
      </c>
      <c r="J116" s="2" t="s">
        <v>182</v>
      </c>
      <c r="K116" s="2"/>
      <c r="L116" s="2" t="s">
        <v>41</v>
      </c>
    </row>
    <row r="117" customFormat="false" ht="12.75" hidden="false" customHeight="false" outlineLevel="0" collapsed="false">
      <c r="A117" s="2" t="s">
        <v>229</v>
      </c>
      <c r="B117" s="3" t="n">
        <v>46190</v>
      </c>
      <c r="C117" s="2" t="s">
        <v>127</v>
      </c>
      <c r="D117" s="2" t="s">
        <v>157</v>
      </c>
      <c r="E117" s="2" t="s">
        <v>37</v>
      </c>
      <c r="F117" s="2" t="s">
        <v>30</v>
      </c>
      <c r="G117" s="2" t="s">
        <v>17</v>
      </c>
      <c r="H117" s="2" t="s">
        <v>77</v>
      </c>
      <c r="I117" s="2" t="s">
        <v>53</v>
      </c>
      <c r="J117" s="2" t="s">
        <v>83</v>
      </c>
      <c r="K117" s="2"/>
      <c r="L117" s="2" t="s">
        <v>144</v>
      </c>
    </row>
    <row r="118" customFormat="false" ht="12.75" hidden="false" customHeight="false" outlineLevel="0" collapsed="false">
      <c r="A118" s="2" t="s">
        <v>230</v>
      </c>
      <c r="B118" s="3" t="n">
        <v>46118</v>
      </c>
      <c r="C118" s="2" t="s">
        <v>35</v>
      </c>
      <c r="D118" s="2" t="s">
        <v>56</v>
      </c>
      <c r="E118" s="2" t="s">
        <v>52</v>
      </c>
      <c r="F118" s="2" t="s">
        <v>16</v>
      </c>
      <c r="G118" s="2" t="s">
        <v>17</v>
      </c>
      <c r="H118" s="2" t="s">
        <v>49</v>
      </c>
      <c r="I118" s="2" t="s">
        <v>53</v>
      </c>
      <c r="J118" s="2" t="s">
        <v>58</v>
      </c>
      <c r="K118" s="2"/>
      <c r="L118" s="2" t="s">
        <v>54</v>
      </c>
    </row>
    <row r="119" customFormat="false" ht="12.75" hidden="false" customHeight="false" outlineLevel="0" collapsed="false">
      <c r="A119" s="2" t="s">
        <v>231</v>
      </c>
      <c r="B119" s="3" t="n">
        <v>46081</v>
      </c>
      <c r="C119" s="2" t="s">
        <v>131</v>
      </c>
      <c r="D119" s="2" t="s">
        <v>23</v>
      </c>
      <c r="E119" s="2" t="s">
        <v>15</v>
      </c>
      <c r="F119" s="2" t="s">
        <v>16</v>
      </c>
      <c r="G119" s="2" t="s">
        <v>17</v>
      </c>
      <c r="H119" s="2" t="s">
        <v>49</v>
      </c>
      <c r="I119" s="2" t="s">
        <v>40</v>
      </c>
      <c r="J119" s="2" t="s">
        <v>58</v>
      </c>
      <c r="K119" s="2"/>
      <c r="L119" s="2" t="s">
        <v>78</v>
      </c>
    </row>
    <row r="120" customFormat="false" ht="12.75" hidden="false" customHeight="false" outlineLevel="0" collapsed="false">
      <c r="A120" s="2" t="s">
        <v>232</v>
      </c>
      <c r="B120" s="3" t="n">
        <v>46111</v>
      </c>
      <c r="C120" s="2" t="s">
        <v>13</v>
      </c>
      <c r="D120" s="2" t="s">
        <v>70</v>
      </c>
      <c r="E120" s="2" t="s">
        <v>66</v>
      </c>
      <c r="F120" s="2" t="s">
        <v>24</v>
      </c>
      <c r="G120" s="2"/>
      <c r="H120" s="2" t="s">
        <v>57</v>
      </c>
      <c r="I120" s="2" t="s">
        <v>40</v>
      </c>
      <c r="J120" s="2" t="s">
        <v>134</v>
      </c>
      <c r="K120" s="3" t="n">
        <v>46135</v>
      </c>
      <c r="L120" s="2"/>
    </row>
    <row r="121" customFormat="false" ht="12.75" hidden="false" customHeight="false" outlineLevel="0" collapsed="false">
      <c r="A121" s="2" t="s">
        <v>233</v>
      </c>
      <c r="B121" s="3" t="n">
        <v>46082</v>
      </c>
      <c r="C121" s="2" t="s">
        <v>13</v>
      </c>
      <c r="D121" s="2" t="s">
        <v>159</v>
      </c>
      <c r="E121" s="2" t="s">
        <v>52</v>
      </c>
      <c r="F121" s="2" t="s">
        <v>30</v>
      </c>
      <c r="G121" s="2" t="s">
        <v>17</v>
      </c>
      <c r="H121" s="2" t="s">
        <v>93</v>
      </c>
      <c r="I121" s="2" t="s">
        <v>25</v>
      </c>
      <c r="J121" s="2" t="s">
        <v>20</v>
      </c>
      <c r="K121" s="3" t="n">
        <v>46099</v>
      </c>
      <c r="L121" s="2" t="s">
        <v>54</v>
      </c>
    </row>
    <row r="122" customFormat="false" ht="12.75" hidden="false" customHeight="false" outlineLevel="0" collapsed="false">
      <c r="A122" s="2" t="s">
        <v>234</v>
      </c>
      <c r="B122" s="3" t="n">
        <v>46040</v>
      </c>
      <c r="C122" s="2" t="s">
        <v>13</v>
      </c>
      <c r="D122" s="2" t="s">
        <v>47</v>
      </c>
      <c r="E122" s="2" t="s">
        <v>29</v>
      </c>
      <c r="F122" s="2" t="s">
        <v>30</v>
      </c>
      <c r="G122" s="2" t="s">
        <v>17</v>
      </c>
      <c r="H122" s="2" t="s">
        <v>93</v>
      </c>
      <c r="I122" s="2" t="s">
        <v>53</v>
      </c>
      <c r="J122" s="2" t="s">
        <v>58</v>
      </c>
      <c r="K122" s="2"/>
      <c r="L122" s="2" t="s">
        <v>32</v>
      </c>
    </row>
    <row r="123" customFormat="false" ht="12.75" hidden="false" customHeight="false" outlineLevel="0" collapsed="false">
      <c r="A123" s="2" t="s">
        <v>235</v>
      </c>
      <c r="B123" s="3" t="n">
        <v>46073</v>
      </c>
      <c r="C123" s="2" t="s">
        <v>61</v>
      </c>
      <c r="D123" s="2" t="s">
        <v>23</v>
      </c>
      <c r="E123" s="2" t="s">
        <v>37</v>
      </c>
      <c r="F123" s="2" t="s">
        <v>16</v>
      </c>
      <c r="G123" s="2" t="s">
        <v>17</v>
      </c>
      <c r="H123" s="2" t="s">
        <v>49</v>
      </c>
      <c r="I123" s="2" t="s">
        <v>40</v>
      </c>
      <c r="J123" s="2" t="s">
        <v>58</v>
      </c>
      <c r="K123" s="2"/>
      <c r="L123" s="2" t="s">
        <v>144</v>
      </c>
    </row>
    <row r="124" customFormat="false" ht="12.75" hidden="false" customHeight="false" outlineLevel="0" collapsed="false">
      <c r="A124" s="2" t="s">
        <v>236</v>
      </c>
      <c r="B124" s="3" t="n">
        <v>46031</v>
      </c>
      <c r="C124" s="2" t="s">
        <v>13</v>
      </c>
      <c r="D124" s="2" t="s">
        <v>92</v>
      </c>
      <c r="E124" s="2" t="s">
        <v>15</v>
      </c>
      <c r="F124" s="2" t="s">
        <v>30</v>
      </c>
      <c r="G124" s="2" t="s">
        <v>17</v>
      </c>
      <c r="H124" s="2" t="s">
        <v>18</v>
      </c>
      <c r="I124" s="2" t="s">
        <v>40</v>
      </c>
      <c r="J124" s="2" t="s">
        <v>20</v>
      </c>
      <c r="K124" s="3" t="n">
        <v>46053</v>
      </c>
      <c r="L124" s="2"/>
    </row>
    <row r="125" customFormat="false" ht="12.75" hidden="false" customHeight="false" outlineLevel="0" collapsed="false">
      <c r="A125" s="2" t="s">
        <v>237</v>
      </c>
      <c r="B125" s="3" t="n">
        <v>46076</v>
      </c>
      <c r="C125" s="2" t="s">
        <v>43</v>
      </c>
      <c r="D125" s="2" t="s">
        <v>14</v>
      </c>
      <c r="E125" s="2" t="s">
        <v>29</v>
      </c>
      <c r="F125" s="2" t="s">
        <v>24</v>
      </c>
      <c r="G125" s="2" t="s">
        <v>17</v>
      </c>
      <c r="H125" s="2" t="s">
        <v>49</v>
      </c>
      <c r="I125" s="2" t="s">
        <v>25</v>
      </c>
      <c r="J125" s="2" t="s">
        <v>20</v>
      </c>
      <c r="K125" s="3" t="n">
        <v>46103</v>
      </c>
      <c r="L125" s="2" t="s">
        <v>32</v>
      </c>
    </row>
    <row r="126" customFormat="false" ht="12.75" hidden="false" customHeight="false" outlineLevel="0" collapsed="false">
      <c r="A126" s="2" t="s">
        <v>238</v>
      </c>
      <c r="B126" s="3" t="n">
        <v>46072</v>
      </c>
      <c r="C126" s="2" t="s">
        <v>13</v>
      </c>
      <c r="D126" s="2" t="s">
        <v>56</v>
      </c>
      <c r="E126" s="2" t="s">
        <v>15</v>
      </c>
      <c r="F126" s="2" t="s">
        <v>24</v>
      </c>
      <c r="G126" s="2" t="s">
        <v>17</v>
      </c>
      <c r="H126" s="2" t="s">
        <v>18</v>
      </c>
      <c r="I126" s="2" t="s">
        <v>53</v>
      </c>
      <c r="J126" s="2" t="s">
        <v>20</v>
      </c>
      <c r="K126" s="3" t="n">
        <v>46090</v>
      </c>
      <c r="L126" s="2" t="s">
        <v>78</v>
      </c>
    </row>
    <row r="127" customFormat="false" ht="12.75" hidden="false" customHeight="false" outlineLevel="0" collapsed="false">
      <c r="A127" s="2" t="s">
        <v>239</v>
      </c>
      <c r="B127" s="3" t="n">
        <v>46132</v>
      </c>
      <c r="C127" s="2" t="s">
        <v>61</v>
      </c>
      <c r="D127" s="2" t="s">
        <v>56</v>
      </c>
      <c r="E127" s="2"/>
      <c r="F127" s="2" t="s">
        <v>16</v>
      </c>
      <c r="G127" s="2" t="s">
        <v>17</v>
      </c>
      <c r="H127" s="2" t="s">
        <v>80</v>
      </c>
      <c r="I127" s="2" t="s">
        <v>53</v>
      </c>
      <c r="J127" s="2" t="s">
        <v>134</v>
      </c>
      <c r="K127" s="3" t="n">
        <v>46153</v>
      </c>
      <c r="L127" s="2" t="s">
        <v>86</v>
      </c>
    </row>
    <row r="128" customFormat="false" ht="12.75" hidden="false" customHeight="false" outlineLevel="0" collapsed="false">
      <c r="A128" s="2" t="s">
        <v>240</v>
      </c>
      <c r="B128" s="3" t="n">
        <v>46090</v>
      </c>
      <c r="C128" s="2" t="s">
        <v>22</v>
      </c>
      <c r="D128" s="2" t="s">
        <v>100</v>
      </c>
      <c r="E128" s="2" t="s">
        <v>37</v>
      </c>
      <c r="F128" s="2" t="s">
        <v>16</v>
      </c>
      <c r="G128" s="2" t="s">
        <v>17</v>
      </c>
      <c r="H128" s="2" t="s">
        <v>49</v>
      </c>
      <c r="I128" s="2" t="s">
        <v>53</v>
      </c>
      <c r="J128" s="2" t="s">
        <v>129</v>
      </c>
      <c r="K128" s="2"/>
      <c r="L128" s="2" t="s">
        <v>59</v>
      </c>
    </row>
    <row r="129" customFormat="false" ht="12.75" hidden="false" customHeight="false" outlineLevel="0" collapsed="false">
      <c r="A129" s="2" t="s">
        <v>241</v>
      </c>
      <c r="B129" s="3" t="n">
        <v>46177</v>
      </c>
      <c r="C129" s="2" t="s">
        <v>22</v>
      </c>
      <c r="D129" s="2" t="s">
        <v>23</v>
      </c>
      <c r="E129" s="2" t="s">
        <v>15</v>
      </c>
      <c r="F129" s="2" t="s">
        <v>24</v>
      </c>
      <c r="G129" s="2" t="s">
        <v>17</v>
      </c>
      <c r="H129" s="2" t="s">
        <v>49</v>
      </c>
      <c r="I129" s="2" t="s">
        <v>40</v>
      </c>
      <c r="J129" s="2" t="s">
        <v>106</v>
      </c>
      <c r="K129" s="2"/>
      <c r="L129" s="2" t="s">
        <v>63</v>
      </c>
    </row>
    <row r="130" customFormat="false" ht="12.75" hidden="false" customHeight="false" outlineLevel="0" collapsed="false">
      <c r="A130" s="2" t="s">
        <v>242</v>
      </c>
      <c r="B130" s="3" t="n">
        <v>46175</v>
      </c>
      <c r="C130" s="2" t="s">
        <v>123</v>
      </c>
      <c r="D130" s="2" t="s">
        <v>215</v>
      </c>
      <c r="E130" s="2" t="s">
        <v>29</v>
      </c>
      <c r="F130" s="2" t="s">
        <v>48</v>
      </c>
      <c r="G130" s="2" t="s">
        <v>17</v>
      </c>
      <c r="H130" s="2" t="s">
        <v>110</v>
      </c>
      <c r="I130" s="2" t="s">
        <v>19</v>
      </c>
      <c r="J130" s="2" t="s">
        <v>58</v>
      </c>
      <c r="K130" s="2"/>
      <c r="L130" s="2" t="s">
        <v>32</v>
      </c>
    </row>
    <row r="131" customFormat="false" ht="12.75" hidden="false" customHeight="false" outlineLevel="0" collapsed="false">
      <c r="A131" s="2" t="s">
        <v>243</v>
      </c>
      <c r="B131" s="3" t="n">
        <v>46091</v>
      </c>
      <c r="C131" s="2" t="s">
        <v>28</v>
      </c>
      <c r="D131" s="2" t="s">
        <v>70</v>
      </c>
      <c r="E131" s="2" t="s">
        <v>66</v>
      </c>
      <c r="F131" s="2" t="s">
        <v>24</v>
      </c>
      <c r="G131" s="2" t="s">
        <v>17</v>
      </c>
      <c r="H131" s="2" t="s">
        <v>18</v>
      </c>
      <c r="I131" s="2" t="s">
        <v>40</v>
      </c>
      <c r="J131" s="2" t="s">
        <v>20</v>
      </c>
      <c r="K131" s="3" t="n">
        <v>46098</v>
      </c>
      <c r="L131" s="2" t="s">
        <v>67</v>
      </c>
    </row>
    <row r="132" customFormat="false" ht="12.75" hidden="false" customHeight="false" outlineLevel="0" collapsed="false">
      <c r="A132" s="2" t="s">
        <v>244</v>
      </c>
      <c r="B132" s="3" t="n">
        <v>46203</v>
      </c>
      <c r="C132" s="2" t="s">
        <v>131</v>
      </c>
      <c r="D132" s="2" t="s">
        <v>51</v>
      </c>
      <c r="E132" s="2" t="s">
        <v>66</v>
      </c>
      <c r="F132" s="2" t="s">
        <v>30</v>
      </c>
      <c r="G132" s="2" t="s">
        <v>17</v>
      </c>
      <c r="H132" s="2" t="s">
        <v>49</v>
      </c>
      <c r="I132" s="2" t="s">
        <v>25</v>
      </c>
      <c r="J132" s="2" t="s">
        <v>129</v>
      </c>
      <c r="K132" s="2"/>
      <c r="L132" s="2" t="s">
        <v>136</v>
      </c>
    </row>
    <row r="133" customFormat="false" ht="12.75" hidden="false" customHeight="false" outlineLevel="0" collapsed="false">
      <c r="A133" s="2" t="s">
        <v>245</v>
      </c>
      <c r="B133" s="3" t="n">
        <v>46106</v>
      </c>
      <c r="C133" s="2" t="s">
        <v>35</v>
      </c>
      <c r="D133" s="2" t="s">
        <v>47</v>
      </c>
      <c r="E133" s="2" t="s">
        <v>66</v>
      </c>
      <c r="F133" s="2" t="s">
        <v>16</v>
      </c>
      <c r="G133" s="2" t="s">
        <v>17</v>
      </c>
      <c r="H133" s="2" t="s">
        <v>49</v>
      </c>
      <c r="I133" s="2" t="s">
        <v>40</v>
      </c>
      <c r="J133" s="2" t="s">
        <v>58</v>
      </c>
      <c r="K133" s="2"/>
      <c r="L133" s="2" t="s">
        <v>67</v>
      </c>
    </row>
    <row r="134" customFormat="false" ht="12.75" hidden="false" customHeight="false" outlineLevel="0" collapsed="false">
      <c r="A134" s="2" t="s">
        <v>246</v>
      </c>
      <c r="B134" s="3" t="n">
        <v>46125</v>
      </c>
      <c r="C134" s="2" t="s">
        <v>35</v>
      </c>
      <c r="D134" s="2" t="s">
        <v>100</v>
      </c>
      <c r="E134" s="2" t="s">
        <v>52</v>
      </c>
      <c r="F134" s="2" t="s">
        <v>38</v>
      </c>
      <c r="G134" s="2" t="s">
        <v>39</v>
      </c>
      <c r="H134" s="2" t="s">
        <v>18</v>
      </c>
      <c r="I134" s="2" t="s">
        <v>81</v>
      </c>
      <c r="J134" s="2" t="s">
        <v>58</v>
      </c>
      <c r="K134" s="2" t="s">
        <v>247</v>
      </c>
      <c r="L134" s="2" t="s">
        <v>41</v>
      </c>
    </row>
    <row r="135" customFormat="false" ht="12.75" hidden="false" customHeight="false" outlineLevel="0" collapsed="false">
      <c r="A135" s="2" t="s">
        <v>248</v>
      </c>
      <c r="B135" s="3" t="n">
        <v>46186</v>
      </c>
      <c r="C135" s="2" t="s">
        <v>28</v>
      </c>
      <c r="D135" s="2" t="s">
        <v>100</v>
      </c>
      <c r="E135" s="2" t="s">
        <v>37</v>
      </c>
      <c r="F135" s="2" t="s">
        <v>24</v>
      </c>
      <c r="G135" s="2" t="s">
        <v>17</v>
      </c>
      <c r="H135" s="2" t="s">
        <v>18</v>
      </c>
      <c r="I135" s="2" t="s">
        <v>19</v>
      </c>
      <c r="J135" s="2" t="s">
        <v>83</v>
      </c>
      <c r="K135" s="2"/>
      <c r="L135" s="2" t="s">
        <v>59</v>
      </c>
    </row>
    <row r="136" customFormat="false" ht="12.75" hidden="false" customHeight="false" outlineLevel="0" collapsed="false">
      <c r="A136" s="2" t="s">
        <v>249</v>
      </c>
      <c r="B136" s="3" t="n">
        <v>46051</v>
      </c>
      <c r="C136" s="2" t="s">
        <v>192</v>
      </c>
      <c r="D136" s="2" t="s">
        <v>51</v>
      </c>
      <c r="E136" s="2" t="s">
        <v>29</v>
      </c>
      <c r="F136" s="2" t="s">
        <v>24</v>
      </c>
      <c r="G136" s="2" t="s">
        <v>17</v>
      </c>
      <c r="H136" s="2" t="s">
        <v>18</v>
      </c>
      <c r="I136" s="2" t="s">
        <v>53</v>
      </c>
      <c r="J136" s="2" t="s">
        <v>129</v>
      </c>
      <c r="K136" s="2"/>
      <c r="L136" s="2" t="s">
        <v>32</v>
      </c>
    </row>
    <row r="137" customFormat="false" ht="12.75" hidden="false" customHeight="false" outlineLevel="0" collapsed="false">
      <c r="A137" s="2" t="s">
        <v>250</v>
      </c>
      <c r="B137" s="3" t="n">
        <v>46209</v>
      </c>
      <c r="C137" s="2" t="s">
        <v>103</v>
      </c>
      <c r="D137" s="2" t="s">
        <v>56</v>
      </c>
      <c r="E137" s="2" t="s">
        <v>29</v>
      </c>
      <c r="F137" s="2" t="s">
        <v>24</v>
      </c>
      <c r="G137" s="2" t="s">
        <v>17</v>
      </c>
      <c r="H137" s="2" t="s">
        <v>49</v>
      </c>
      <c r="I137" s="2" t="s">
        <v>25</v>
      </c>
      <c r="J137" s="2" t="s">
        <v>182</v>
      </c>
      <c r="K137" s="2"/>
      <c r="L137" s="2" t="s">
        <v>32</v>
      </c>
    </row>
    <row r="138" customFormat="false" ht="12.75" hidden="false" customHeight="false" outlineLevel="0" collapsed="false">
      <c r="A138" s="2" t="s">
        <v>251</v>
      </c>
      <c r="B138" s="3" t="n">
        <v>46226</v>
      </c>
      <c r="C138" s="2" t="s">
        <v>35</v>
      </c>
      <c r="D138" s="2" t="s">
        <v>44</v>
      </c>
      <c r="E138" s="2" t="s">
        <v>66</v>
      </c>
      <c r="F138" s="2" t="s">
        <v>48</v>
      </c>
      <c r="G138" s="2" t="s">
        <v>17</v>
      </c>
      <c r="H138" s="2" t="s">
        <v>18</v>
      </c>
      <c r="I138" s="2" t="s">
        <v>25</v>
      </c>
      <c r="J138" s="2" t="s">
        <v>58</v>
      </c>
      <c r="K138" s="2"/>
      <c r="L138" s="2" t="s">
        <v>136</v>
      </c>
    </row>
    <row r="139" customFormat="false" ht="12.75" hidden="false" customHeight="false" outlineLevel="0" collapsed="false">
      <c r="A139" s="2" t="s">
        <v>252</v>
      </c>
      <c r="B139" s="3" t="n">
        <v>46077</v>
      </c>
      <c r="C139" s="2" t="s">
        <v>35</v>
      </c>
      <c r="D139" s="2" t="s">
        <v>23</v>
      </c>
      <c r="E139" s="2" t="s">
        <v>15</v>
      </c>
      <c r="F139" s="2" t="s">
        <v>16</v>
      </c>
      <c r="G139" s="2" t="s">
        <v>17</v>
      </c>
      <c r="H139" s="2" t="s">
        <v>18</v>
      </c>
      <c r="I139" s="2" t="s">
        <v>25</v>
      </c>
      <c r="J139" s="2" t="s">
        <v>20</v>
      </c>
      <c r="K139" s="3" t="n">
        <v>46092</v>
      </c>
      <c r="L139" s="2" t="s">
        <v>26</v>
      </c>
    </row>
    <row r="140" customFormat="false" ht="12.75" hidden="false" customHeight="false" outlineLevel="0" collapsed="false">
      <c r="A140" s="2" t="s">
        <v>253</v>
      </c>
      <c r="B140" s="3" t="n">
        <v>46225</v>
      </c>
      <c r="C140" s="2" t="s">
        <v>61</v>
      </c>
      <c r="D140" s="2" t="s">
        <v>215</v>
      </c>
      <c r="E140" s="2" t="s">
        <v>15</v>
      </c>
      <c r="F140" s="2" t="s">
        <v>16</v>
      </c>
      <c r="G140" s="2" t="s">
        <v>17</v>
      </c>
      <c r="H140" s="2" t="s">
        <v>150</v>
      </c>
      <c r="I140" s="2" t="s">
        <v>25</v>
      </c>
      <c r="J140" s="2" t="s">
        <v>20</v>
      </c>
      <c r="K140" s="3" t="n">
        <v>46233</v>
      </c>
      <c r="L140" s="2" t="s">
        <v>114</v>
      </c>
    </row>
    <row r="141" customFormat="false" ht="12.75" hidden="false" customHeight="false" outlineLevel="0" collapsed="false">
      <c r="A141" s="2" t="s">
        <v>254</v>
      </c>
      <c r="B141" s="3" t="n">
        <v>46163</v>
      </c>
      <c r="C141" s="2" t="s">
        <v>131</v>
      </c>
      <c r="D141" s="2" t="s">
        <v>70</v>
      </c>
      <c r="E141" s="2" t="s">
        <v>37</v>
      </c>
      <c r="F141" s="2" t="s">
        <v>24</v>
      </c>
      <c r="G141" s="2" t="s">
        <v>17</v>
      </c>
      <c r="H141" s="2" t="s">
        <v>18</v>
      </c>
      <c r="I141" s="2"/>
      <c r="J141" s="2" t="s">
        <v>20</v>
      </c>
      <c r="K141" s="3" t="n">
        <v>46181</v>
      </c>
      <c r="L141" s="2" t="s">
        <v>144</v>
      </c>
    </row>
    <row r="142" customFormat="false" ht="12.75" hidden="false" customHeight="false" outlineLevel="0" collapsed="false">
      <c r="A142" s="2" t="s">
        <v>253</v>
      </c>
      <c r="B142" s="3" t="n">
        <v>46225</v>
      </c>
      <c r="C142" s="2" t="s">
        <v>61</v>
      </c>
      <c r="D142" s="2" t="s">
        <v>215</v>
      </c>
      <c r="E142" s="2" t="s">
        <v>15</v>
      </c>
      <c r="F142" s="2" t="s">
        <v>16</v>
      </c>
      <c r="G142" s="2" t="s">
        <v>17</v>
      </c>
      <c r="H142" s="2" t="s">
        <v>150</v>
      </c>
      <c r="I142" s="2" t="s">
        <v>25</v>
      </c>
      <c r="J142" s="2" t="s">
        <v>20</v>
      </c>
      <c r="K142" s="3" t="n">
        <v>46233</v>
      </c>
      <c r="L142" s="2" t="s">
        <v>114</v>
      </c>
    </row>
    <row r="143" customFormat="false" ht="12.75" hidden="false" customHeight="false" outlineLevel="0" collapsed="false">
      <c r="A143" s="2" t="s">
        <v>255</v>
      </c>
      <c r="B143" s="3" t="n">
        <v>46099</v>
      </c>
      <c r="C143" s="2" t="s">
        <v>61</v>
      </c>
      <c r="D143" s="2" t="s">
        <v>51</v>
      </c>
      <c r="E143" s="2" t="s">
        <v>66</v>
      </c>
      <c r="F143" s="2" t="s">
        <v>30</v>
      </c>
      <c r="G143" s="2" t="s">
        <v>17</v>
      </c>
      <c r="H143" s="2" t="s">
        <v>49</v>
      </c>
      <c r="I143" s="2" t="s">
        <v>40</v>
      </c>
      <c r="J143" s="2" t="s">
        <v>58</v>
      </c>
      <c r="K143" s="2"/>
      <c r="L143" s="2" t="s">
        <v>86</v>
      </c>
    </row>
    <row r="144" customFormat="false" ht="12.75" hidden="false" customHeight="false" outlineLevel="0" collapsed="false">
      <c r="A144" s="2" t="s">
        <v>256</v>
      </c>
      <c r="B144" s="3" t="n">
        <v>46085</v>
      </c>
      <c r="C144" s="2" t="s">
        <v>13</v>
      </c>
      <c r="D144" s="2" t="s">
        <v>47</v>
      </c>
      <c r="E144" s="2" t="s">
        <v>15</v>
      </c>
      <c r="F144" s="2" t="s">
        <v>24</v>
      </c>
      <c r="G144" s="2" t="s">
        <v>17</v>
      </c>
      <c r="H144" s="2" t="s">
        <v>150</v>
      </c>
      <c r="I144" s="2"/>
      <c r="J144" s="2" t="s">
        <v>20</v>
      </c>
      <c r="K144" s="3" t="n">
        <v>46095</v>
      </c>
      <c r="L144" s="2" t="s">
        <v>26</v>
      </c>
    </row>
    <row r="145" customFormat="false" ht="12.75" hidden="false" customHeight="false" outlineLevel="0" collapsed="false">
      <c r="A145" s="2" t="s">
        <v>257</v>
      </c>
      <c r="B145" s="3" t="n">
        <v>46055</v>
      </c>
      <c r="C145" s="2" t="s">
        <v>13</v>
      </c>
      <c r="D145" s="2" t="s">
        <v>36</v>
      </c>
      <c r="E145" s="2" t="s">
        <v>37</v>
      </c>
      <c r="F145" s="2" t="s">
        <v>30</v>
      </c>
      <c r="G145" s="2" t="s">
        <v>17</v>
      </c>
      <c r="H145" s="2" t="s">
        <v>150</v>
      </c>
      <c r="I145" s="2" t="s">
        <v>25</v>
      </c>
      <c r="J145" s="2" t="s">
        <v>20</v>
      </c>
      <c r="K145" s="3" t="n">
        <v>46060</v>
      </c>
      <c r="L145" s="2" t="s">
        <v>72</v>
      </c>
    </row>
    <row r="146" customFormat="false" ht="12.75" hidden="false" customHeight="false" outlineLevel="0" collapsed="false">
      <c r="A146" s="2" t="s">
        <v>258</v>
      </c>
      <c r="B146" s="3" t="n">
        <v>46198</v>
      </c>
      <c r="C146" s="2" t="s">
        <v>61</v>
      </c>
      <c r="D146" s="2" t="s">
        <v>70</v>
      </c>
      <c r="E146" s="2" t="s">
        <v>66</v>
      </c>
      <c r="F146" s="2" t="s">
        <v>30</v>
      </c>
      <c r="G146" s="2"/>
      <c r="H146" s="2" t="s">
        <v>49</v>
      </c>
      <c r="I146" s="2" t="s">
        <v>53</v>
      </c>
      <c r="J146" s="2" t="s">
        <v>20</v>
      </c>
      <c r="K146" s="3" t="n">
        <v>46199</v>
      </c>
      <c r="L146" s="2" t="s">
        <v>86</v>
      </c>
    </row>
    <row r="147" customFormat="false" ht="12.75" hidden="false" customHeight="false" outlineLevel="0" collapsed="false">
      <c r="A147" s="2" t="s">
        <v>259</v>
      </c>
      <c r="B147" s="3" t="n">
        <v>46221</v>
      </c>
      <c r="C147" s="2" t="s">
        <v>28</v>
      </c>
      <c r="D147" s="2" t="s">
        <v>70</v>
      </c>
      <c r="E147" s="2" t="s">
        <v>52</v>
      </c>
      <c r="F147" s="2" t="s">
        <v>24</v>
      </c>
      <c r="G147" s="2" t="s">
        <v>17</v>
      </c>
      <c r="H147" s="2" t="s">
        <v>110</v>
      </c>
      <c r="I147" s="2" t="s">
        <v>40</v>
      </c>
      <c r="J147" s="2" t="s">
        <v>58</v>
      </c>
      <c r="K147" s="2"/>
      <c r="L147" s="2" t="s">
        <v>97</v>
      </c>
    </row>
    <row r="148" customFormat="false" ht="12.75" hidden="false" customHeight="false" outlineLevel="0" collapsed="false">
      <c r="A148" s="2" t="s">
        <v>260</v>
      </c>
      <c r="B148" s="3" t="n">
        <v>46162</v>
      </c>
      <c r="C148" s="2" t="s">
        <v>61</v>
      </c>
      <c r="D148" s="2" t="s">
        <v>100</v>
      </c>
      <c r="E148" s="2" t="s">
        <v>15</v>
      </c>
      <c r="F148" s="2" t="s">
        <v>48</v>
      </c>
      <c r="G148" s="2" t="s">
        <v>17</v>
      </c>
      <c r="H148" s="2" t="s">
        <v>110</v>
      </c>
      <c r="I148" s="2" t="s">
        <v>25</v>
      </c>
      <c r="J148" s="2" t="s">
        <v>58</v>
      </c>
      <c r="K148" s="2"/>
      <c r="L148" s="2" t="s">
        <v>26</v>
      </c>
    </row>
    <row r="149" customFormat="false" ht="12.75" hidden="false" customHeight="false" outlineLevel="0" collapsed="false">
      <c r="A149" s="2" t="s">
        <v>261</v>
      </c>
      <c r="B149" s="3" t="n">
        <v>46083</v>
      </c>
      <c r="C149" s="2" t="s">
        <v>61</v>
      </c>
      <c r="D149" s="2" t="s">
        <v>23</v>
      </c>
      <c r="E149" s="2" t="s">
        <v>29</v>
      </c>
      <c r="F149" s="2" t="s">
        <v>38</v>
      </c>
      <c r="G149" s="2" t="s">
        <v>39</v>
      </c>
      <c r="H149" s="2" t="s">
        <v>93</v>
      </c>
      <c r="I149" s="2" t="s">
        <v>81</v>
      </c>
      <c r="J149" s="2" t="s">
        <v>134</v>
      </c>
      <c r="K149" s="2"/>
      <c r="L149" s="2" t="s">
        <v>41</v>
      </c>
    </row>
    <row r="150" customFormat="false" ht="12.75" hidden="false" customHeight="false" outlineLevel="0" collapsed="false">
      <c r="A150" s="2" t="s">
        <v>196</v>
      </c>
      <c r="B150" s="3" t="n">
        <v>46074</v>
      </c>
      <c r="C150" s="2" t="s">
        <v>13</v>
      </c>
      <c r="D150" s="2" t="s">
        <v>23</v>
      </c>
      <c r="E150" s="2" t="s">
        <v>66</v>
      </c>
      <c r="F150" s="2" t="s">
        <v>16</v>
      </c>
      <c r="G150" s="2" t="s">
        <v>17</v>
      </c>
      <c r="H150" s="2" t="s">
        <v>49</v>
      </c>
      <c r="I150" s="2" t="s">
        <v>81</v>
      </c>
      <c r="J150" s="2" t="s">
        <v>108</v>
      </c>
      <c r="K150" s="2"/>
      <c r="L150" s="2" t="s">
        <v>67</v>
      </c>
    </row>
    <row r="151" customFormat="false" ht="12.75" hidden="false" customHeight="false" outlineLevel="0" collapsed="false">
      <c r="A151" s="2" t="s">
        <v>262</v>
      </c>
      <c r="B151" s="3" t="n">
        <v>46126</v>
      </c>
      <c r="C151" s="2" t="s">
        <v>13</v>
      </c>
      <c r="D151" s="2" t="s">
        <v>44</v>
      </c>
      <c r="E151" s="2" t="s">
        <v>66</v>
      </c>
      <c r="F151" s="2" t="s">
        <v>24</v>
      </c>
      <c r="G151" s="2" t="s">
        <v>17</v>
      </c>
      <c r="H151" s="2" t="s">
        <v>18</v>
      </c>
      <c r="I151" s="2" t="s">
        <v>40</v>
      </c>
      <c r="J151" s="2" t="s">
        <v>58</v>
      </c>
      <c r="K151" s="2"/>
      <c r="L151" s="2" t="s">
        <v>86</v>
      </c>
    </row>
    <row r="152" customFormat="false" ht="12.75" hidden="false" customHeight="false" outlineLevel="0" collapsed="false">
      <c r="A152" s="2" t="s">
        <v>263</v>
      </c>
      <c r="B152" s="3" t="n">
        <v>46194</v>
      </c>
      <c r="C152" s="2" t="s">
        <v>138</v>
      </c>
      <c r="D152" s="2" t="s">
        <v>14</v>
      </c>
      <c r="E152" s="2" t="s">
        <v>37</v>
      </c>
      <c r="F152" s="2" t="s">
        <v>30</v>
      </c>
      <c r="G152" s="2" t="s">
        <v>17</v>
      </c>
      <c r="H152" s="2" t="s">
        <v>49</v>
      </c>
      <c r="I152" s="2" t="s">
        <v>25</v>
      </c>
      <c r="J152" s="2" t="s">
        <v>20</v>
      </c>
      <c r="K152" s="3" t="n">
        <v>46191</v>
      </c>
      <c r="L152" s="2" t="s">
        <v>72</v>
      </c>
    </row>
    <row r="153" customFormat="false" ht="12.75" hidden="false" customHeight="false" outlineLevel="0" collapsed="false">
      <c r="A153" s="2" t="s">
        <v>264</v>
      </c>
      <c r="B153" s="3" t="n">
        <v>46097</v>
      </c>
      <c r="C153" s="2" t="s">
        <v>43</v>
      </c>
      <c r="D153" s="2" t="s">
        <v>215</v>
      </c>
      <c r="E153" s="2"/>
      <c r="F153" s="2" t="s">
        <v>48</v>
      </c>
      <c r="G153" s="2"/>
      <c r="H153" s="2" t="s">
        <v>80</v>
      </c>
      <c r="I153" s="2" t="s">
        <v>25</v>
      </c>
      <c r="J153" s="2" t="s">
        <v>20</v>
      </c>
      <c r="K153" s="3" t="n">
        <v>46100</v>
      </c>
      <c r="L153" s="2" t="s">
        <v>72</v>
      </c>
    </row>
    <row r="154" customFormat="false" ht="12.75" hidden="false" customHeight="false" outlineLevel="0" collapsed="false">
      <c r="A154" s="2" t="s">
        <v>265</v>
      </c>
      <c r="B154" s="3" t="n">
        <v>46165</v>
      </c>
      <c r="C154" s="2" t="s">
        <v>13</v>
      </c>
      <c r="D154" s="2" t="s">
        <v>266</v>
      </c>
      <c r="E154" s="2" t="s">
        <v>52</v>
      </c>
      <c r="F154" s="2" t="s">
        <v>24</v>
      </c>
      <c r="G154" s="2" t="s">
        <v>17</v>
      </c>
      <c r="H154" s="2" t="s">
        <v>18</v>
      </c>
      <c r="I154" s="2" t="s">
        <v>40</v>
      </c>
      <c r="J154" s="2" t="s">
        <v>129</v>
      </c>
      <c r="K154" s="2"/>
      <c r="L154" s="2" t="s">
        <v>54</v>
      </c>
    </row>
    <row r="155" customFormat="false" ht="12.75" hidden="false" customHeight="false" outlineLevel="0" collapsed="false">
      <c r="A155" s="2" t="s">
        <v>267</v>
      </c>
      <c r="B155" s="2" t="s">
        <v>268</v>
      </c>
      <c r="C155" s="2" t="s">
        <v>131</v>
      </c>
      <c r="D155" s="2" t="s">
        <v>100</v>
      </c>
      <c r="E155" s="2" t="s">
        <v>52</v>
      </c>
      <c r="F155" s="2" t="s">
        <v>16</v>
      </c>
      <c r="G155" s="2" t="s">
        <v>17</v>
      </c>
      <c r="H155" s="2" t="s">
        <v>80</v>
      </c>
      <c r="I155" s="2" t="s">
        <v>40</v>
      </c>
      <c r="J155" s="2" t="s">
        <v>20</v>
      </c>
      <c r="K155" s="3" t="n">
        <v>46157</v>
      </c>
      <c r="L155" s="2" t="s">
        <v>97</v>
      </c>
    </row>
    <row r="156" customFormat="false" ht="12.75" hidden="false" customHeight="false" outlineLevel="0" collapsed="false">
      <c r="A156" s="2" t="s">
        <v>269</v>
      </c>
      <c r="B156" s="3" t="n">
        <v>46069</v>
      </c>
      <c r="C156" s="2" t="s">
        <v>164</v>
      </c>
      <c r="D156" s="2" t="s">
        <v>14</v>
      </c>
      <c r="E156" s="2" t="s">
        <v>66</v>
      </c>
      <c r="F156" s="2" t="s">
        <v>24</v>
      </c>
      <c r="G156" s="2" t="s">
        <v>17</v>
      </c>
      <c r="H156" s="2" t="s">
        <v>49</v>
      </c>
      <c r="I156" s="2" t="s">
        <v>81</v>
      </c>
      <c r="J156" s="2" t="s">
        <v>20</v>
      </c>
      <c r="K156" s="3" t="n">
        <v>46074</v>
      </c>
      <c r="L156" s="2" t="s">
        <v>67</v>
      </c>
    </row>
    <row r="157" customFormat="false" ht="12.75" hidden="false" customHeight="false" outlineLevel="0" collapsed="false">
      <c r="A157" s="2" t="s">
        <v>270</v>
      </c>
      <c r="B157" s="3" t="n">
        <v>46163</v>
      </c>
      <c r="C157" s="2" t="s">
        <v>13</v>
      </c>
      <c r="D157" s="2" t="s">
        <v>62</v>
      </c>
      <c r="E157" s="2" t="s">
        <v>29</v>
      </c>
      <c r="F157" s="2" t="s">
        <v>24</v>
      </c>
      <c r="G157" s="2" t="s">
        <v>17</v>
      </c>
      <c r="H157" s="2" t="s">
        <v>49</v>
      </c>
      <c r="I157" s="2" t="s">
        <v>25</v>
      </c>
      <c r="J157" s="2" t="s">
        <v>20</v>
      </c>
      <c r="K157" s="3" t="n">
        <v>46170</v>
      </c>
      <c r="L157" s="2" t="s">
        <v>104</v>
      </c>
    </row>
    <row r="158" customFormat="false" ht="12.75" hidden="false" customHeight="false" outlineLevel="0" collapsed="false">
      <c r="A158" s="2" t="s">
        <v>271</v>
      </c>
      <c r="B158" s="3" t="n">
        <v>46221</v>
      </c>
      <c r="C158" s="2" t="s">
        <v>123</v>
      </c>
      <c r="D158" s="2" t="s">
        <v>47</v>
      </c>
      <c r="E158" s="2" t="s">
        <v>66</v>
      </c>
      <c r="F158" s="2" t="s">
        <v>16</v>
      </c>
      <c r="G158" s="2" t="s">
        <v>17</v>
      </c>
      <c r="H158" s="2" t="s">
        <v>77</v>
      </c>
      <c r="I158" s="2" t="s">
        <v>53</v>
      </c>
      <c r="J158" s="2" t="s">
        <v>58</v>
      </c>
      <c r="K158" s="2"/>
      <c r="L158" s="2" t="s">
        <v>67</v>
      </c>
    </row>
    <row r="159" customFormat="false" ht="12.75" hidden="false" customHeight="false" outlineLevel="0" collapsed="false">
      <c r="A159" s="2" t="s">
        <v>272</v>
      </c>
      <c r="B159" s="2" t="s">
        <v>273</v>
      </c>
      <c r="C159" s="2" t="s">
        <v>113</v>
      </c>
      <c r="D159" s="2" t="s">
        <v>266</v>
      </c>
      <c r="E159" s="2" t="s">
        <v>15</v>
      </c>
      <c r="F159" s="2" t="s">
        <v>30</v>
      </c>
      <c r="G159" s="2" t="s">
        <v>17</v>
      </c>
      <c r="H159" s="2" t="s">
        <v>49</v>
      </c>
      <c r="I159" s="2" t="s">
        <v>25</v>
      </c>
      <c r="J159" s="2" t="s">
        <v>58</v>
      </c>
      <c r="K159" s="2"/>
      <c r="L159" s="2" t="s">
        <v>26</v>
      </c>
    </row>
    <row r="160" customFormat="false" ht="12.75" hidden="false" customHeight="false" outlineLevel="0" collapsed="false">
      <c r="A160" s="2" t="s">
        <v>274</v>
      </c>
      <c r="B160" s="3" t="n">
        <v>46076</v>
      </c>
      <c r="C160" s="2" t="s">
        <v>192</v>
      </c>
      <c r="D160" s="2" t="s">
        <v>51</v>
      </c>
      <c r="E160" s="2" t="s">
        <v>52</v>
      </c>
      <c r="F160" s="2" t="s">
        <v>30</v>
      </c>
      <c r="G160" s="2" t="s">
        <v>17</v>
      </c>
      <c r="H160" s="2" t="s">
        <v>18</v>
      </c>
      <c r="I160" s="2" t="s">
        <v>19</v>
      </c>
      <c r="J160" s="2" t="s">
        <v>31</v>
      </c>
      <c r="K160" s="2"/>
      <c r="L160" s="2" t="s">
        <v>88</v>
      </c>
    </row>
    <row r="161" customFormat="false" ht="12.75" hidden="false" customHeight="false" outlineLevel="0" collapsed="false">
      <c r="A161" s="2" t="s">
        <v>275</v>
      </c>
      <c r="B161" s="3" t="n">
        <v>46061</v>
      </c>
      <c r="C161" s="2" t="s">
        <v>202</v>
      </c>
      <c r="D161" s="2" t="s">
        <v>23</v>
      </c>
      <c r="E161" s="2" t="s">
        <v>66</v>
      </c>
      <c r="F161" s="2" t="s">
        <v>16</v>
      </c>
      <c r="G161" s="2" t="s">
        <v>17</v>
      </c>
      <c r="H161" s="2" t="s">
        <v>18</v>
      </c>
      <c r="I161" s="2" t="s">
        <v>53</v>
      </c>
      <c r="J161" s="2" t="s">
        <v>20</v>
      </c>
      <c r="K161" s="3" t="n">
        <v>46062</v>
      </c>
      <c r="L161" s="2" t="s">
        <v>67</v>
      </c>
    </row>
    <row r="162" customFormat="false" ht="12.75" hidden="false" customHeight="false" outlineLevel="0" collapsed="false">
      <c r="A162" s="2" t="s">
        <v>276</v>
      </c>
      <c r="B162" s="3" t="n">
        <v>46094</v>
      </c>
      <c r="C162" s="2" t="s">
        <v>28</v>
      </c>
      <c r="D162" s="2" t="s">
        <v>70</v>
      </c>
      <c r="E162" s="2" t="s">
        <v>15</v>
      </c>
      <c r="F162" s="2" t="s">
        <v>24</v>
      </c>
      <c r="G162" s="2" t="s">
        <v>17</v>
      </c>
      <c r="H162" s="2" t="s">
        <v>93</v>
      </c>
      <c r="I162" s="2" t="s">
        <v>53</v>
      </c>
      <c r="J162" s="2" t="s">
        <v>134</v>
      </c>
      <c r="K162" s="3" t="n">
        <v>46104</v>
      </c>
      <c r="L162" s="2" t="s">
        <v>78</v>
      </c>
    </row>
    <row r="163" customFormat="false" ht="12.75" hidden="false" customHeight="false" outlineLevel="0" collapsed="false">
      <c r="A163" s="2" t="s">
        <v>277</v>
      </c>
      <c r="B163" s="3" t="n">
        <v>46086</v>
      </c>
      <c r="C163" s="2" t="s">
        <v>138</v>
      </c>
      <c r="D163" s="2" t="s">
        <v>100</v>
      </c>
      <c r="E163" s="2"/>
      <c r="F163" s="2" t="s">
        <v>48</v>
      </c>
      <c r="G163" s="2" t="s">
        <v>17</v>
      </c>
      <c r="H163" s="2" t="s">
        <v>150</v>
      </c>
      <c r="I163" s="2" t="s">
        <v>40</v>
      </c>
      <c r="J163" s="2" t="s">
        <v>108</v>
      </c>
      <c r="K163" s="2"/>
      <c r="L163" s="2" t="s">
        <v>26</v>
      </c>
    </row>
    <row r="164" customFormat="false" ht="12.75" hidden="false" customHeight="false" outlineLevel="0" collapsed="false">
      <c r="A164" s="2" t="s">
        <v>278</v>
      </c>
      <c r="B164" s="3" t="n">
        <v>46223</v>
      </c>
      <c r="C164" s="2" t="s">
        <v>35</v>
      </c>
      <c r="D164" s="2" t="s">
        <v>92</v>
      </c>
      <c r="E164" s="2" t="s">
        <v>52</v>
      </c>
      <c r="F164" s="2" t="s">
        <v>16</v>
      </c>
      <c r="G164" s="2"/>
      <c r="H164" s="2" t="s">
        <v>77</v>
      </c>
      <c r="I164" s="2" t="s">
        <v>40</v>
      </c>
      <c r="J164" s="2" t="s">
        <v>20</v>
      </c>
      <c r="K164" s="3" t="n">
        <v>46232</v>
      </c>
      <c r="L164" s="2" t="s">
        <v>54</v>
      </c>
    </row>
    <row r="165" customFormat="false" ht="12.75" hidden="false" customHeight="false" outlineLevel="0" collapsed="false">
      <c r="A165" s="2" t="s">
        <v>279</v>
      </c>
      <c r="B165" s="3" t="n">
        <v>46220</v>
      </c>
      <c r="C165" s="2" t="s">
        <v>35</v>
      </c>
      <c r="D165" s="2" t="s">
        <v>100</v>
      </c>
      <c r="E165" s="2" t="s">
        <v>37</v>
      </c>
      <c r="F165" s="2" t="s">
        <v>16</v>
      </c>
      <c r="G165" s="2" t="s">
        <v>17</v>
      </c>
      <c r="H165" s="2" t="s">
        <v>125</v>
      </c>
      <c r="I165" s="2" t="s">
        <v>25</v>
      </c>
      <c r="J165" s="2" t="s">
        <v>83</v>
      </c>
      <c r="K165" s="2"/>
      <c r="L165" s="2" t="s">
        <v>59</v>
      </c>
    </row>
    <row r="166" customFormat="false" ht="12.75" hidden="false" customHeight="false" outlineLevel="0" collapsed="false">
      <c r="A166" s="2" t="s">
        <v>280</v>
      </c>
      <c r="B166" s="3" t="n">
        <v>46190</v>
      </c>
      <c r="C166" s="2" t="s">
        <v>22</v>
      </c>
      <c r="D166" s="2" t="s">
        <v>47</v>
      </c>
      <c r="E166" s="2" t="s">
        <v>29</v>
      </c>
      <c r="F166" s="2" t="s">
        <v>16</v>
      </c>
      <c r="G166" s="2" t="s">
        <v>17</v>
      </c>
      <c r="H166" s="2" t="s">
        <v>49</v>
      </c>
      <c r="I166" s="2" t="s">
        <v>81</v>
      </c>
      <c r="J166" s="2" t="s">
        <v>20</v>
      </c>
      <c r="K166" s="3" t="n">
        <v>46191</v>
      </c>
      <c r="L166" s="2" t="s">
        <v>32</v>
      </c>
    </row>
    <row r="167" customFormat="false" ht="12.75" hidden="false" customHeight="false" outlineLevel="0" collapsed="false">
      <c r="A167" s="2" t="s">
        <v>189</v>
      </c>
      <c r="B167" s="3" t="n">
        <v>46163</v>
      </c>
      <c r="C167" s="2" t="s">
        <v>35</v>
      </c>
      <c r="D167" s="2" t="s">
        <v>100</v>
      </c>
      <c r="E167" s="2" t="s">
        <v>29</v>
      </c>
      <c r="F167" s="2" t="s">
        <v>16</v>
      </c>
      <c r="G167" s="2" t="s">
        <v>17</v>
      </c>
      <c r="H167" s="2" t="s">
        <v>18</v>
      </c>
      <c r="I167" s="2" t="s">
        <v>40</v>
      </c>
      <c r="J167" s="2" t="s">
        <v>83</v>
      </c>
      <c r="K167" s="2"/>
      <c r="L167" s="2" t="s">
        <v>32</v>
      </c>
    </row>
    <row r="168" customFormat="false" ht="12.75" hidden="false" customHeight="false" outlineLevel="0" collapsed="false">
      <c r="A168" s="2" t="s">
        <v>281</v>
      </c>
      <c r="B168" s="3" t="n">
        <v>46173</v>
      </c>
      <c r="C168" s="2" t="s">
        <v>138</v>
      </c>
      <c r="D168" s="2" t="s">
        <v>215</v>
      </c>
      <c r="E168" s="2" t="s">
        <v>37</v>
      </c>
      <c r="F168" s="2" t="s">
        <v>30</v>
      </c>
      <c r="G168" s="2" t="s">
        <v>17</v>
      </c>
      <c r="H168" s="2" t="s">
        <v>150</v>
      </c>
      <c r="I168" s="2" t="s">
        <v>53</v>
      </c>
      <c r="J168" s="2" t="s">
        <v>58</v>
      </c>
      <c r="K168" s="2"/>
      <c r="L168" s="2" t="s">
        <v>59</v>
      </c>
    </row>
    <row r="169" customFormat="false" ht="12.75" hidden="false" customHeight="false" outlineLevel="0" collapsed="false">
      <c r="A169" s="2" t="s">
        <v>282</v>
      </c>
      <c r="B169" s="3" t="n">
        <v>46196</v>
      </c>
      <c r="C169" s="2" t="s">
        <v>28</v>
      </c>
      <c r="D169" s="2" t="s">
        <v>157</v>
      </c>
      <c r="E169" s="2" t="s">
        <v>15</v>
      </c>
      <c r="F169" s="2" t="s">
        <v>30</v>
      </c>
      <c r="G169" s="2" t="s">
        <v>17</v>
      </c>
      <c r="H169" s="2" t="s">
        <v>49</v>
      </c>
      <c r="I169" s="2" t="s">
        <v>81</v>
      </c>
      <c r="J169" s="2" t="s">
        <v>58</v>
      </c>
      <c r="K169" s="2"/>
      <c r="L169" s="2" t="s">
        <v>114</v>
      </c>
    </row>
    <row r="170" customFormat="false" ht="12.75" hidden="false" customHeight="false" outlineLevel="0" collapsed="false">
      <c r="A170" s="2" t="s">
        <v>283</v>
      </c>
      <c r="B170" s="3" t="n">
        <v>46104</v>
      </c>
      <c r="C170" s="2" t="s">
        <v>22</v>
      </c>
      <c r="D170" s="2" t="s">
        <v>100</v>
      </c>
      <c r="E170" s="2" t="s">
        <v>37</v>
      </c>
      <c r="F170" s="2" t="s">
        <v>16</v>
      </c>
      <c r="G170" s="2" t="s">
        <v>17</v>
      </c>
      <c r="H170" s="2" t="s">
        <v>110</v>
      </c>
      <c r="I170" s="2" t="s">
        <v>40</v>
      </c>
      <c r="J170" s="2" t="s">
        <v>20</v>
      </c>
      <c r="K170" s="3" t="n">
        <v>46098</v>
      </c>
      <c r="L170" s="2" t="s">
        <v>59</v>
      </c>
    </row>
    <row r="171" customFormat="false" ht="12.75" hidden="false" customHeight="false" outlineLevel="0" collapsed="false">
      <c r="A171" s="2" t="s">
        <v>284</v>
      </c>
      <c r="B171" s="3" t="n">
        <v>46160</v>
      </c>
      <c r="C171" s="2" t="s">
        <v>69</v>
      </c>
      <c r="D171" s="2" t="s">
        <v>14</v>
      </c>
      <c r="E171" s="2" t="s">
        <v>37</v>
      </c>
      <c r="F171" s="2" t="s">
        <v>24</v>
      </c>
      <c r="G171" s="2" t="s">
        <v>17</v>
      </c>
      <c r="H171" s="2" t="s">
        <v>49</v>
      </c>
      <c r="I171" s="2" t="s">
        <v>19</v>
      </c>
      <c r="J171" s="2" t="s">
        <v>108</v>
      </c>
      <c r="K171" s="2"/>
      <c r="L171" s="2" t="s">
        <v>59</v>
      </c>
    </row>
    <row r="172" customFormat="false" ht="12.75" hidden="false" customHeight="false" outlineLevel="0" collapsed="false">
      <c r="A172" s="2" t="s">
        <v>285</v>
      </c>
      <c r="B172" s="3" t="n">
        <v>46214</v>
      </c>
      <c r="C172" s="2" t="s">
        <v>61</v>
      </c>
      <c r="D172" s="2" t="s">
        <v>203</v>
      </c>
      <c r="E172" s="2" t="s">
        <v>52</v>
      </c>
      <c r="F172" s="2" t="s">
        <v>48</v>
      </c>
      <c r="G172" s="2" t="s">
        <v>17</v>
      </c>
      <c r="H172" s="2" t="s">
        <v>18</v>
      </c>
      <c r="I172" s="2" t="s">
        <v>40</v>
      </c>
      <c r="J172" s="2" t="s">
        <v>20</v>
      </c>
      <c r="K172" s="3" t="n">
        <v>46241</v>
      </c>
      <c r="L172" s="2" t="s">
        <v>88</v>
      </c>
    </row>
    <row r="173" customFormat="false" ht="12.75" hidden="false" customHeight="false" outlineLevel="0" collapsed="false">
      <c r="A173" s="2" t="s">
        <v>286</v>
      </c>
      <c r="B173" s="3" t="n">
        <v>46131</v>
      </c>
      <c r="C173" s="2" t="s">
        <v>13</v>
      </c>
      <c r="D173" s="2" t="s">
        <v>203</v>
      </c>
      <c r="E173" s="2" t="s">
        <v>15</v>
      </c>
      <c r="F173" s="2" t="s">
        <v>24</v>
      </c>
      <c r="G173" s="2" t="s">
        <v>17</v>
      </c>
      <c r="H173" s="2" t="s">
        <v>18</v>
      </c>
      <c r="I173" s="2" t="s">
        <v>25</v>
      </c>
      <c r="J173" s="2" t="s">
        <v>31</v>
      </c>
      <c r="K173" s="3" t="n">
        <v>46144</v>
      </c>
      <c r="L173" s="2" t="s">
        <v>63</v>
      </c>
    </row>
    <row r="174" customFormat="false" ht="12.75" hidden="false" customHeight="false" outlineLevel="0" collapsed="false">
      <c r="A174" s="2" t="s">
        <v>287</v>
      </c>
      <c r="B174" s="3" t="n">
        <v>46171</v>
      </c>
      <c r="C174" s="2" t="s">
        <v>13</v>
      </c>
      <c r="D174" s="2" t="s">
        <v>62</v>
      </c>
      <c r="E174" s="2" t="s">
        <v>29</v>
      </c>
      <c r="F174" s="2" t="s">
        <v>24</v>
      </c>
      <c r="G174" s="2" t="s">
        <v>17</v>
      </c>
      <c r="H174" s="2" t="s">
        <v>49</v>
      </c>
      <c r="I174" s="2" t="s">
        <v>53</v>
      </c>
      <c r="J174" s="2" t="s">
        <v>20</v>
      </c>
      <c r="K174" s="3" t="n">
        <v>46174</v>
      </c>
      <c r="L174" s="2" t="s">
        <v>45</v>
      </c>
    </row>
    <row r="175" customFormat="false" ht="12.75" hidden="false" customHeight="false" outlineLevel="0" collapsed="false">
      <c r="A175" s="2" t="s">
        <v>288</v>
      </c>
      <c r="B175" s="2" t="s">
        <v>289</v>
      </c>
      <c r="C175" s="2" t="s">
        <v>28</v>
      </c>
      <c r="D175" s="2" t="s">
        <v>100</v>
      </c>
      <c r="E175" s="2" t="s">
        <v>37</v>
      </c>
      <c r="F175" s="2" t="s">
        <v>24</v>
      </c>
      <c r="G175" s="2" t="s">
        <v>17</v>
      </c>
      <c r="H175" s="2" t="s">
        <v>18</v>
      </c>
      <c r="I175" s="2" t="s">
        <v>40</v>
      </c>
      <c r="J175" s="2" t="s">
        <v>20</v>
      </c>
      <c r="K175" s="3" t="n">
        <v>46213</v>
      </c>
      <c r="L175" s="2" t="s">
        <v>144</v>
      </c>
    </row>
    <row r="176" customFormat="false" ht="12.75" hidden="false" customHeight="false" outlineLevel="0" collapsed="false">
      <c r="A176" s="2" t="s">
        <v>290</v>
      </c>
      <c r="B176" s="3" t="n">
        <v>46031</v>
      </c>
      <c r="C176" s="2" t="s">
        <v>192</v>
      </c>
      <c r="D176" s="2" t="s">
        <v>100</v>
      </c>
      <c r="E176" s="2" t="s">
        <v>37</v>
      </c>
      <c r="F176" s="2" t="s">
        <v>24</v>
      </c>
      <c r="G176" s="2" t="s">
        <v>17</v>
      </c>
      <c r="H176" s="2" t="s">
        <v>18</v>
      </c>
      <c r="I176" s="2" t="s">
        <v>53</v>
      </c>
      <c r="J176" s="2" t="s">
        <v>108</v>
      </c>
      <c r="K176" s="2"/>
      <c r="L176" s="2" t="s">
        <v>144</v>
      </c>
    </row>
    <row r="177" customFormat="false" ht="12.75" hidden="false" customHeight="false" outlineLevel="0" collapsed="false">
      <c r="A177" s="2" t="s">
        <v>291</v>
      </c>
      <c r="B177" s="3" t="n">
        <v>46121</v>
      </c>
      <c r="C177" s="2" t="s">
        <v>103</v>
      </c>
      <c r="D177" s="2" t="s">
        <v>70</v>
      </c>
      <c r="E177" s="2" t="s">
        <v>15</v>
      </c>
      <c r="F177" s="2" t="s">
        <v>30</v>
      </c>
      <c r="G177" s="2" t="s">
        <v>17</v>
      </c>
      <c r="H177" s="2" t="s">
        <v>18</v>
      </c>
      <c r="I177" s="2" t="s">
        <v>40</v>
      </c>
      <c r="J177" s="2" t="s">
        <v>20</v>
      </c>
      <c r="K177" s="3" t="n">
        <v>46140</v>
      </c>
      <c r="L177" s="2" t="s">
        <v>78</v>
      </c>
    </row>
    <row r="178" customFormat="false" ht="12.75" hidden="false" customHeight="false" outlineLevel="0" collapsed="false">
      <c r="A178" s="2" t="s">
        <v>292</v>
      </c>
      <c r="B178" s="3" t="n">
        <v>46080</v>
      </c>
      <c r="C178" s="2" t="s">
        <v>35</v>
      </c>
      <c r="D178" s="2" t="s">
        <v>56</v>
      </c>
      <c r="E178" s="2" t="s">
        <v>66</v>
      </c>
      <c r="F178" s="2" t="s">
        <v>16</v>
      </c>
      <c r="G178" s="2" t="s">
        <v>17</v>
      </c>
      <c r="H178" s="2" t="s">
        <v>49</v>
      </c>
      <c r="I178" s="2" t="s">
        <v>53</v>
      </c>
      <c r="J178" s="2" t="s">
        <v>20</v>
      </c>
      <c r="K178" s="3" t="n">
        <v>46083</v>
      </c>
      <c r="L178" s="2" t="s">
        <v>136</v>
      </c>
    </row>
    <row r="179" customFormat="false" ht="12.75" hidden="false" customHeight="false" outlineLevel="0" collapsed="false">
      <c r="A179" s="2" t="s">
        <v>293</v>
      </c>
      <c r="B179" s="3" t="n">
        <v>46156</v>
      </c>
      <c r="C179" s="2" t="s">
        <v>69</v>
      </c>
      <c r="D179" s="2" t="s">
        <v>100</v>
      </c>
      <c r="E179" s="2" t="s">
        <v>52</v>
      </c>
      <c r="F179" s="2" t="s">
        <v>24</v>
      </c>
      <c r="G179" s="2" t="s">
        <v>17</v>
      </c>
      <c r="H179" s="2" t="s">
        <v>150</v>
      </c>
      <c r="I179" s="2" t="s">
        <v>81</v>
      </c>
      <c r="J179" s="2" t="s">
        <v>83</v>
      </c>
      <c r="K179" s="2"/>
      <c r="L179" s="2" t="s">
        <v>95</v>
      </c>
    </row>
    <row r="180" customFormat="false" ht="12.75" hidden="false" customHeight="false" outlineLevel="0" collapsed="false">
      <c r="A180" s="2" t="s">
        <v>294</v>
      </c>
      <c r="B180" s="3" t="n">
        <v>46150</v>
      </c>
      <c r="C180" s="2" t="s">
        <v>28</v>
      </c>
      <c r="D180" s="2" t="s">
        <v>51</v>
      </c>
      <c r="E180" s="2" t="s">
        <v>29</v>
      </c>
      <c r="F180" s="2" t="s">
        <v>48</v>
      </c>
      <c r="G180" s="2" t="s">
        <v>17</v>
      </c>
      <c r="H180" s="2" t="s">
        <v>49</v>
      </c>
      <c r="I180" s="2" t="s">
        <v>25</v>
      </c>
      <c r="J180" s="2" t="s">
        <v>58</v>
      </c>
      <c r="K180" s="2"/>
      <c r="L180" s="2" t="s">
        <v>104</v>
      </c>
    </row>
    <row r="181" customFormat="false" ht="12.75" hidden="false" customHeight="false" outlineLevel="0" collapsed="false">
      <c r="A181" s="2" t="s">
        <v>295</v>
      </c>
      <c r="B181" s="3" t="n">
        <v>46102</v>
      </c>
      <c r="C181" s="2" t="s">
        <v>61</v>
      </c>
      <c r="D181" s="2" t="s">
        <v>14</v>
      </c>
      <c r="E181" s="2" t="s">
        <v>29</v>
      </c>
      <c r="F181" s="2" t="s">
        <v>16</v>
      </c>
      <c r="G181" s="2" t="s">
        <v>17</v>
      </c>
      <c r="H181" s="2" t="s">
        <v>110</v>
      </c>
      <c r="I181" s="2" t="s">
        <v>40</v>
      </c>
      <c r="J181" s="2" t="s">
        <v>20</v>
      </c>
      <c r="K181" s="3" t="n">
        <v>46127</v>
      </c>
      <c r="L181" s="2" t="s">
        <v>32</v>
      </c>
    </row>
    <row r="182" customFormat="false" ht="12.75" hidden="false" customHeight="false" outlineLevel="0" collapsed="false">
      <c r="A182" s="2" t="s">
        <v>296</v>
      </c>
      <c r="B182" s="3" t="n">
        <v>46114</v>
      </c>
      <c r="C182" s="2" t="s">
        <v>61</v>
      </c>
      <c r="D182" s="2" t="s">
        <v>266</v>
      </c>
      <c r="E182" s="2" t="s">
        <v>66</v>
      </c>
      <c r="F182" s="2" t="s">
        <v>24</v>
      </c>
      <c r="G182" s="2" t="s">
        <v>17</v>
      </c>
      <c r="H182" s="2" t="s">
        <v>18</v>
      </c>
      <c r="I182" s="2" t="s">
        <v>25</v>
      </c>
      <c r="J182" s="2" t="s">
        <v>134</v>
      </c>
      <c r="K182" s="3" t="n">
        <v>46115</v>
      </c>
      <c r="L182" s="2" t="s">
        <v>86</v>
      </c>
    </row>
    <row r="183" customFormat="false" ht="12.75" hidden="false" customHeight="false" outlineLevel="0" collapsed="false">
      <c r="A183" s="2" t="s">
        <v>297</v>
      </c>
      <c r="B183" s="2" t="s">
        <v>91</v>
      </c>
      <c r="C183" s="2" t="s">
        <v>35</v>
      </c>
      <c r="D183" s="2" t="s">
        <v>85</v>
      </c>
      <c r="E183" s="2" t="s">
        <v>37</v>
      </c>
      <c r="F183" s="2" t="s">
        <v>16</v>
      </c>
      <c r="G183" s="2" t="s">
        <v>17</v>
      </c>
      <c r="H183" s="2" t="s">
        <v>49</v>
      </c>
      <c r="I183" s="2" t="s">
        <v>19</v>
      </c>
      <c r="J183" s="2" t="s">
        <v>20</v>
      </c>
      <c r="K183" s="3" t="n">
        <v>46158</v>
      </c>
      <c r="L183" s="2" t="s">
        <v>144</v>
      </c>
    </row>
    <row r="184" customFormat="false" ht="12.75" hidden="false" customHeight="false" outlineLevel="0" collapsed="false">
      <c r="A184" s="2" t="s">
        <v>298</v>
      </c>
      <c r="B184" s="3" t="n">
        <v>46059</v>
      </c>
      <c r="C184" s="2" t="s">
        <v>127</v>
      </c>
      <c r="D184" s="2" t="s">
        <v>70</v>
      </c>
      <c r="E184" s="2" t="s">
        <v>66</v>
      </c>
      <c r="F184" s="2" t="s">
        <v>24</v>
      </c>
      <c r="G184" s="2" t="s">
        <v>17</v>
      </c>
      <c r="H184" s="2" t="s">
        <v>179</v>
      </c>
      <c r="I184" s="2" t="s">
        <v>53</v>
      </c>
      <c r="J184" s="2" t="s">
        <v>20</v>
      </c>
      <c r="K184" s="3" t="n">
        <v>46065</v>
      </c>
      <c r="L184" s="2" t="s">
        <v>86</v>
      </c>
    </row>
    <row r="185" customFormat="false" ht="12.75" hidden="false" customHeight="false" outlineLevel="0" collapsed="false">
      <c r="A185" s="2" t="s">
        <v>299</v>
      </c>
      <c r="B185" s="3" t="n">
        <v>46218</v>
      </c>
      <c r="C185" s="2" t="s">
        <v>43</v>
      </c>
      <c r="D185" s="2" t="s">
        <v>116</v>
      </c>
      <c r="E185" s="2" t="s">
        <v>66</v>
      </c>
      <c r="F185" s="2" t="s">
        <v>24</v>
      </c>
      <c r="G185" s="2" t="s">
        <v>17</v>
      </c>
      <c r="H185" s="2" t="s">
        <v>49</v>
      </c>
      <c r="I185" s="2" t="s">
        <v>19</v>
      </c>
      <c r="J185" s="2" t="s">
        <v>83</v>
      </c>
      <c r="K185" s="2"/>
      <c r="L185" s="2" t="s">
        <v>67</v>
      </c>
    </row>
    <row r="186" customFormat="false" ht="12.75" hidden="false" customHeight="false" outlineLevel="0" collapsed="false">
      <c r="A186" s="2" t="s">
        <v>300</v>
      </c>
      <c r="B186" s="3" t="n">
        <v>46143</v>
      </c>
      <c r="C186" s="2" t="s">
        <v>22</v>
      </c>
      <c r="D186" s="2" t="s">
        <v>51</v>
      </c>
      <c r="E186" s="2" t="s">
        <v>29</v>
      </c>
      <c r="F186" s="2" t="s">
        <v>24</v>
      </c>
      <c r="G186" s="2" t="s">
        <v>17</v>
      </c>
      <c r="H186" s="2" t="s">
        <v>57</v>
      </c>
      <c r="I186" s="2" t="s">
        <v>40</v>
      </c>
      <c r="J186" s="2" t="s">
        <v>20</v>
      </c>
      <c r="K186" s="3" t="n">
        <v>46149</v>
      </c>
      <c r="L186" s="2"/>
    </row>
    <row r="187" customFormat="false" ht="12.75" hidden="false" customHeight="false" outlineLevel="0" collapsed="false">
      <c r="A187" s="2" t="s">
        <v>279</v>
      </c>
      <c r="B187" s="3" t="n">
        <v>46220</v>
      </c>
      <c r="C187" s="2" t="s">
        <v>127</v>
      </c>
      <c r="D187" s="2" t="s">
        <v>100</v>
      </c>
      <c r="E187" s="2" t="s">
        <v>37</v>
      </c>
      <c r="F187" s="2" t="s">
        <v>16</v>
      </c>
      <c r="G187" s="2" t="s">
        <v>17</v>
      </c>
      <c r="H187" s="2" t="s">
        <v>125</v>
      </c>
      <c r="I187" s="2" t="s">
        <v>25</v>
      </c>
      <c r="J187" s="2" t="s">
        <v>83</v>
      </c>
      <c r="K187" s="2"/>
      <c r="L187" s="2" t="s">
        <v>59</v>
      </c>
    </row>
    <row r="188" customFormat="false" ht="12.75" hidden="false" customHeight="false" outlineLevel="0" collapsed="false">
      <c r="A188" s="2" t="s">
        <v>301</v>
      </c>
      <c r="B188" s="3" t="n">
        <v>46133</v>
      </c>
      <c r="C188" s="2" t="s">
        <v>35</v>
      </c>
      <c r="D188" s="2" t="s">
        <v>14</v>
      </c>
      <c r="E188" s="2" t="s">
        <v>29</v>
      </c>
      <c r="F188" s="2" t="s">
        <v>16</v>
      </c>
      <c r="G188" s="2" t="s">
        <v>17</v>
      </c>
      <c r="H188" s="2" t="s">
        <v>18</v>
      </c>
      <c r="I188" s="2" t="s">
        <v>53</v>
      </c>
      <c r="J188" s="2" t="s">
        <v>58</v>
      </c>
      <c r="K188" s="2"/>
      <c r="L188" s="2" t="s">
        <v>104</v>
      </c>
    </row>
    <row r="189" customFormat="false" ht="12.75" hidden="false" customHeight="false" outlineLevel="0" collapsed="false">
      <c r="A189" s="2" t="s">
        <v>302</v>
      </c>
      <c r="B189" s="3" t="n">
        <v>46136</v>
      </c>
      <c r="C189" s="2" t="s">
        <v>28</v>
      </c>
      <c r="D189" s="2" t="s">
        <v>36</v>
      </c>
      <c r="E189" s="2" t="s">
        <v>37</v>
      </c>
      <c r="F189" s="2" t="s">
        <v>16</v>
      </c>
      <c r="G189" s="2" t="s">
        <v>17</v>
      </c>
      <c r="H189" s="2" t="s">
        <v>49</v>
      </c>
      <c r="I189" s="2"/>
      <c r="J189" s="2" t="s">
        <v>20</v>
      </c>
      <c r="K189" s="3" t="n">
        <v>46143</v>
      </c>
      <c r="L189" s="2" t="s">
        <v>144</v>
      </c>
    </row>
    <row r="190" customFormat="false" ht="12.75" hidden="false" customHeight="false" outlineLevel="0" collapsed="false">
      <c r="A190" s="2" t="s">
        <v>303</v>
      </c>
      <c r="B190" s="3" t="n">
        <v>46034</v>
      </c>
      <c r="C190" s="2" t="s">
        <v>131</v>
      </c>
      <c r="D190" s="2" t="s">
        <v>23</v>
      </c>
      <c r="E190" s="2"/>
      <c r="F190" s="2" t="s">
        <v>16</v>
      </c>
      <c r="G190" s="2" t="s">
        <v>17</v>
      </c>
      <c r="H190" s="2" t="s">
        <v>18</v>
      </c>
      <c r="I190" s="2" t="s">
        <v>40</v>
      </c>
      <c r="J190" s="2" t="s">
        <v>106</v>
      </c>
      <c r="K190" s="2"/>
      <c r="L190" s="2" t="s">
        <v>104</v>
      </c>
    </row>
    <row r="191" customFormat="false" ht="12.75" hidden="false" customHeight="false" outlineLevel="0" collapsed="false">
      <c r="A191" s="2" t="s">
        <v>304</v>
      </c>
      <c r="B191" s="3" t="n">
        <v>46027</v>
      </c>
      <c r="C191" s="2" t="s">
        <v>22</v>
      </c>
      <c r="D191" s="2" t="s">
        <v>51</v>
      </c>
      <c r="E191" s="2" t="s">
        <v>52</v>
      </c>
      <c r="F191" s="2" t="s">
        <v>24</v>
      </c>
      <c r="G191" s="2" t="s">
        <v>17</v>
      </c>
      <c r="H191" s="2" t="s">
        <v>18</v>
      </c>
      <c r="I191" s="2" t="s">
        <v>40</v>
      </c>
      <c r="J191" s="2" t="s">
        <v>20</v>
      </c>
      <c r="K191" s="3" t="n">
        <v>46028</v>
      </c>
      <c r="L191" s="2" t="s">
        <v>95</v>
      </c>
    </row>
    <row r="192" customFormat="false" ht="12.75" hidden="false" customHeight="false" outlineLevel="0" collapsed="false">
      <c r="A192" s="2" t="s">
        <v>305</v>
      </c>
      <c r="B192" s="3" t="n">
        <v>46110</v>
      </c>
      <c r="C192" s="2" t="s">
        <v>113</v>
      </c>
      <c r="D192" s="2" t="s">
        <v>56</v>
      </c>
      <c r="E192" s="2" t="s">
        <v>29</v>
      </c>
      <c r="F192" s="2" t="s">
        <v>48</v>
      </c>
      <c r="G192" s="2" t="s">
        <v>17</v>
      </c>
      <c r="H192" s="2" t="s">
        <v>179</v>
      </c>
      <c r="I192" s="2" t="s">
        <v>40</v>
      </c>
      <c r="J192" s="2" t="s">
        <v>20</v>
      </c>
      <c r="K192" s="2" t="s">
        <v>306</v>
      </c>
      <c r="L192" s="2" t="s">
        <v>45</v>
      </c>
    </row>
    <row r="193" customFormat="false" ht="12.75" hidden="false" customHeight="false" outlineLevel="0" collapsed="false">
      <c r="A193" s="2" t="s">
        <v>307</v>
      </c>
      <c r="B193" s="3" t="n">
        <v>46184</v>
      </c>
      <c r="C193" s="2" t="s">
        <v>22</v>
      </c>
      <c r="D193" s="2" t="s">
        <v>215</v>
      </c>
      <c r="E193" s="2" t="s">
        <v>15</v>
      </c>
      <c r="F193" s="2" t="s">
        <v>48</v>
      </c>
      <c r="G193" s="2" t="s">
        <v>17</v>
      </c>
      <c r="H193" s="2" t="s">
        <v>49</v>
      </c>
      <c r="I193" s="2" t="s">
        <v>40</v>
      </c>
      <c r="J193" s="2" t="s">
        <v>20</v>
      </c>
      <c r="K193" s="3" t="n">
        <v>46185</v>
      </c>
      <c r="L193" s="2" t="s">
        <v>63</v>
      </c>
    </row>
    <row r="194" customFormat="false" ht="12.75" hidden="false" customHeight="false" outlineLevel="0" collapsed="false">
      <c r="A194" s="2" t="s">
        <v>308</v>
      </c>
      <c r="B194" s="3" t="n">
        <v>46103</v>
      </c>
      <c r="C194" s="2" t="s">
        <v>35</v>
      </c>
      <c r="D194" s="2" t="s">
        <v>70</v>
      </c>
      <c r="E194" s="2" t="s">
        <v>37</v>
      </c>
      <c r="F194" s="2" t="s">
        <v>30</v>
      </c>
      <c r="G194" s="2" t="s">
        <v>17</v>
      </c>
      <c r="H194" s="2" t="s">
        <v>49</v>
      </c>
      <c r="I194" s="2" t="s">
        <v>25</v>
      </c>
      <c r="J194" s="2" t="s">
        <v>20</v>
      </c>
      <c r="K194" s="3" t="n">
        <v>46111</v>
      </c>
      <c r="L194" s="2" t="s">
        <v>59</v>
      </c>
    </row>
    <row r="195" customFormat="false" ht="12.75" hidden="false" customHeight="false" outlineLevel="0" collapsed="false">
      <c r="A195" s="2" t="s">
        <v>309</v>
      </c>
      <c r="B195" s="3" t="n">
        <v>46136</v>
      </c>
      <c r="C195" s="2" t="s">
        <v>123</v>
      </c>
      <c r="D195" s="2" t="s">
        <v>51</v>
      </c>
      <c r="E195" s="2" t="s">
        <v>29</v>
      </c>
      <c r="F195" s="2" t="s">
        <v>38</v>
      </c>
      <c r="G195" s="2" t="s">
        <v>39</v>
      </c>
      <c r="H195" s="2" t="s">
        <v>18</v>
      </c>
      <c r="I195" s="2" t="s">
        <v>53</v>
      </c>
      <c r="J195" s="2" t="s">
        <v>58</v>
      </c>
      <c r="K195" s="2"/>
      <c r="L195" s="2" t="s">
        <v>41</v>
      </c>
    </row>
    <row r="196" customFormat="false" ht="12.75" hidden="false" customHeight="false" outlineLevel="0" collapsed="false">
      <c r="A196" s="2" t="s">
        <v>310</v>
      </c>
      <c r="B196" s="3" t="n">
        <v>46191</v>
      </c>
      <c r="C196" s="2" t="s">
        <v>61</v>
      </c>
      <c r="D196" s="2" t="s">
        <v>56</v>
      </c>
      <c r="E196" s="2" t="s">
        <v>37</v>
      </c>
      <c r="F196" s="2" t="s">
        <v>24</v>
      </c>
      <c r="G196" s="2" t="s">
        <v>17</v>
      </c>
      <c r="H196" s="2" t="s">
        <v>93</v>
      </c>
      <c r="I196" s="2" t="s">
        <v>53</v>
      </c>
      <c r="J196" s="2" t="s">
        <v>20</v>
      </c>
      <c r="K196" s="3" t="n">
        <v>46195</v>
      </c>
      <c r="L196" s="2" t="s">
        <v>72</v>
      </c>
    </row>
    <row r="197" customFormat="false" ht="12.75" hidden="false" customHeight="false" outlineLevel="0" collapsed="false">
      <c r="A197" s="2" t="s">
        <v>311</v>
      </c>
      <c r="B197" s="3" t="n">
        <v>46082</v>
      </c>
      <c r="C197" s="2" t="s">
        <v>28</v>
      </c>
      <c r="D197" s="2" t="s">
        <v>51</v>
      </c>
      <c r="E197" s="2" t="s">
        <v>66</v>
      </c>
      <c r="F197" s="2" t="s">
        <v>30</v>
      </c>
      <c r="G197" s="2" t="s">
        <v>17</v>
      </c>
      <c r="H197" s="2" t="s">
        <v>150</v>
      </c>
      <c r="I197" s="2" t="s">
        <v>40</v>
      </c>
      <c r="J197" s="2" t="s">
        <v>20</v>
      </c>
      <c r="K197" s="3" t="n">
        <v>46094</v>
      </c>
      <c r="L197" s="2" t="s">
        <v>67</v>
      </c>
    </row>
    <row r="198" customFormat="false" ht="12.75" hidden="false" customHeight="false" outlineLevel="0" collapsed="false">
      <c r="A198" s="2" t="s">
        <v>312</v>
      </c>
      <c r="B198" s="3" t="n">
        <v>46204</v>
      </c>
      <c r="C198" s="2" t="s">
        <v>28</v>
      </c>
      <c r="D198" s="2" t="s">
        <v>203</v>
      </c>
      <c r="E198" s="2" t="s">
        <v>29</v>
      </c>
      <c r="F198" s="2" t="s">
        <v>48</v>
      </c>
      <c r="G198" s="2" t="s">
        <v>17</v>
      </c>
      <c r="H198" s="2" t="s">
        <v>49</v>
      </c>
      <c r="I198" s="2" t="s">
        <v>40</v>
      </c>
      <c r="J198" s="2" t="s">
        <v>182</v>
      </c>
      <c r="K198" s="2"/>
      <c r="L198" s="2" t="s">
        <v>32</v>
      </c>
    </row>
    <row r="199" customFormat="false" ht="12.75" hidden="false" customHeight="false" outlineLevel="0" collapsed="false">
      <c r="A199" s="2" t="s">
        <v>313</v>
      </c>
      <c r="B199" s="3" t="n">
        <v>46058</v>
      </c>
      <c r="C199" s="2" t="s">
        <v>35</v>
      </c>
      <c r="D199" s="2" t="s">
        <v>14</v>
      </c>
      <c r="E199" s="2" t="s">
        <v>37</v>
      </c>
      <c r="F199" s="2" t="s">
        <v>16</v>
      </c>
      <c r="G199" s="2" t="s">
        <v>17</v>
      </c>
      <c r="H199" s="2" t="s">
        <v>18</v>
      </c>
      <c r="I199" s="2" t="s">
        <v>53</v>
      </c>
      <c r="J199" s="2" t="s">
        <v>83</v>
      </c>
      <c r="K199" s="2"/>
      <c r="L199" s="2" t="s">
        <v>144</v>
      </c>
    </row>
    <row r="200" customFormat="false" ht="12.75" hidden="false" customHeight="false" outlineLevel="0" collapsed="false">
      <c r="A200" s="2" t="s">
        <v>314</v>
      </c>
      <c r="B200" s="3" t="n">
        <v>46073</v>
      </c>
      <c r="C200" s="2" t="s">
        <v>28</v>
      </c>
      <c r="D200" s="2" t="s">
        <v>14</v>
      </c>
      <c r="E200" s="2" t="s">
        <v>37</v>
      </c>
      <c r="F200" s="2" t="s">
        <v>24</v>
      </c>
      <c r="G200" s="2" t="s">
        <v>17</v>
      </c>
      <c r="H200" s="2" t="s">
        <v>18</v>
      </c>
      <c r="I200" s="2" t="s">
        <v>19</v>
      </c>
      <c r="J200" s="2" t="s">
        <v>20</v>
      </c>
      <c r="K200" s="3" t="n">
        <v>46078</v>
      </c>
      <c r="L200" s="2" t="s">
        <v>72</v>
      </c>
    </row>
    <row r="201" customFormat="false" ht="12.75" hidden="false" customHeight="false" outlineLevel="0" collapsed="false">
      <c r="A201" s="2" t="s">
        <v>315</v>
      </c>
      <c r="B201" s="3" t="n">
        <v>46039</v>
      </c>
      <c r="C201" s="2" t="s">
        <v>69</v>
      </c>
      <c r="D201" s="2" t="s">
        <v>14</v>
      </c>
      <c r="E201" s="2" t="s">
        <v>66</v>
      </c>
      <c r="F201" s="2" t="s">
        <v>30</v>
      </c>
      <c r="G201" s="2" t="s">
        <v>17</v>
      </c>
      <c r="H201" s="2" t="s">
        <v>110</v>
      </c>
      <c r="I201" s="2" t="s">
        <v>81</v>
      </c>
      <c r="J201" s="2" t="s">
        <v>20</v>
      </c>
      <c r="K201" s="3" t="n">
        <v>46041</v>
      </c>
      <c r="L201" s="2" t="s">
        <v>136</v>
      </c>
    </row>
    <row r="202" customFormat="false" ht="12.75" hidden="false" customHeight="false" outlineLevel="0" collapsed="false">
      <c r="A202" s="2" t="s">
        <v>316</v>
      </c>
      <c r="B202" s="3" t="n">
        <v>46161</v>
      </c>
      <c r="C202" s="2" t="s">
        <v>103</v>
      </c>
      <c r="D202" s="2" t="s">
        <v>56</v>
      </c>
      <c r="E202" s="2" t="s">
        <v>37</v>
      </c>
      <c r="F202" s="2" t="s">
        <v>16</v>
      </c>
      <c r="G202" s="2" t="s">
        <v>17</v>
      </c>
      <c r="H202" s="2" t="s">
        <v>49</v>
      </c>
      <c r="I202" s="2" t="s">
        <v>25</v>
      </c>
      <c r="J202" s="2" t="s">
        <v>31</v>
      </c>
      <c r="K202" s="3" t="n">
        <v>46172</v>
      </c>
      <c r="L202" s="2" t="s">
        <v>59</v>
      </c>
    </row>
    <row r="203" customFormat="false" ht="12.75" hidden="false" customHeight="false" outlineLevel="0" collapsed="false">
      <c r="A203" s="2" t="s">
        <v>317</v>
      </c>
      <c r="B203" s="3" t="n">
        <v>46047</v>
      </c>
      <c r="C203" s="2" t="s">
        <v>202</v>
      </c>
      <c r="D203" s="2" t="s">
        <v>70</v>
      </c>
      <c r="E203" s="2" t="s">
        <v>15</v>
      </c>
      <c r="F203" s="2" t="s">
        <v>24</v>
      </c>
      <c r="G203" s="2"/>
      <c r="H203" s="2" t="s">
        <v>18</v>
      </c>
      <c r="I203" s="2" t="s">
        <v>53</v>
      </c>
      <c r="J203" s="2" t="s">
        <v>129</v>
      </c>
      <c r="K203" s="2"/>
      <c r="L203" s="2" t="s">
        <v>26</v>
      </c>
    </row>
    <row r="204" customFormat="false" ht="12.75" hidden="false" customHeight="false" outlineLevel="0" collapsed="false">
      <c r="A204" s="2" t="s">
        <v>318</v>
      </c>
      <c r="B204" s="3" t="n">
        <v>46073</v>
      </c>
      <c r="C204" s="2" t="s">
        <v>13</v>
      </c>
      <c r="D204" s="2" t="s">
        <v>56</v>
      </c>
      <c r="E204" s="2" t="s">
        <v>66</v>
      </c>
      <c r="F204" s="2" t="s">
        <v>24</v>
      </c>
      <c r="G204" s="2" t="s">
        <v>17</v>
      </c>
      <c r="H204" s="2" t="s">
        <v>18</v>
      </c>
      <c r="I204" s="2" t="s">
        <v>40</v>
      </c>
      <c r="J204" s="2" t="s">
        <v>20</v>
      </c>
      <c r="K204" s="3" t="n">
        <v>46099</v>
      </c>
      <c r="L204" s="2" t="s">
        <v>86</v>
      </c>
    </row>
    <row r="205" customFormat="false" ht="12.75" hidden="false" customHeight="false" outlineLevel="0" collapsed="false">
      <c r="A205" s="2" t="s">
        <v>319</v>
      </c>
      <c r="B205" s="3" t="n">
        <v>46129</v>
      </c>
      <c r="C205" s="2" t="s">
        <v>13</v>
      </c>
      <c r="D205" s="2" t="s">
        <v>92</v>
      </c>
      <c r="E205" s="2" t="s">
        <v>15</v>
      </c>
      <c r="F205" s="2" t="s">
        <v>30</v>
      </c>
      <c r="G205" s="2" t="s">
        <v>17</v>
      </c>
      <c r="H205" s="2" t="s">
        <v>125</v>
      </c>
      <c r="I205" s="2" t="s">
        <v>53</v>
      </c>
      <c r="J205" s="2" t="s">
        <v>20</v>
      </c>
      <c r="K205" s="3" t="n">
        <v>46142</v>
      </c>
      <c r="L205" s="2" t="s">
        <v>78</v>
      </c>
    </row>
    <row r="206" customFormat="false" ht="12.75" hidden="false" customHeight="false" outlineLevel="0" collapsed="false">
      <c r="A206" s="2" t="s">
        <v>320</v>
      </c>
      <c r="B206" s="3" t="n">
        <v>46153</v>
      </c>
      <c r="C206" s="2" t="s">
        <v>22</v>
      </c>
      <c r="D206" s="2" t="s">
        <v>14</v>
      </c>
      <c r="E206" s="2" t="s">
        <v>66</v>
      </c>
      <c r="F206" s="2" t="s">
        <v>24</v>
      </c>
      <c r="G206" s="2" t="s">
        <v>17</v>
      </c>
      <c r="H206" s="2" t="s">
        <v>125</v>
      </c>
      <c r="I206" s="2" t="s">
        <v>40</v>
      </c>
      <c r="J206" s="2" t="s">
        <v>129</v>
      </c>
      <c r="K206" s="2"/>
      <c r="L206" s="2" t="s">
        <v>67</v>
      </c>
    </row>
    <row r="207" customFormat="false" ht="12.75" hidden="false" customHeight="false" outlineLevel="0" collapsed="false">
      <c r="A207" s="2" t="s">
        <v>321</v>
      </c>
      <c r="B207" s="3" t="n">
        <v>46149</v>
      </c>
      <c r="C207" s="2" t="s">
        <v>164</v>
      </c>
      <c r="D207" s="2" t="s">
        <v>56</v>
      </c>
      <c r="E207" s="2" t="s">
        <v>37</v>
      </c>
      <c r="F207" s="2" t="s">
        <v>24</v>
      </c>
      <c r="G207" s="2" t="s">
        <v>17</v>
      </c>
      <c r="H207" s="2" t="s">
        <v>18</v>
      </c>
      <c r="I207" s="2" t="s">
        <v>40</v>
      </c>
      <c r="J207" s="2" t="s">
        <v>20</v>
      </c>
      <c r="K207" s="3" t="n">
        <v>46172</v>
      </c>
      <c r="L207" s="2" t="s">
        <v>72</v>
      </c>
    </row>
    <row r="208" customFormat="false" ht="12.75" hidden="false" customHeight="false" outlineLevel="0" collapsed="false">
      <c r="A208" s="2" t="s">
        <v>322</v>
      </c>
      <c r="B208" s="3" t="n">
        <v>46197</v>
      </c>
      <c r="C208" s="2" t="s">
        <v>35</v>
      </c>
      <c r="D208" s="2" t="s">
        <v>23</v>
      </c>
      <c r="E208" s="2" t="s">
        <v>52</v>
      </c>
      <c r="F208" s="2" t="s">
        <v>24</v>
      </c>
      <c r="G208" s="2" t="s">
        <v>17</v>
      </c>
      <c r="H208" s="2" t="s">
        <v>18</v>
      </c>
      <c r="I208" s="2" t="s">
        <v>19</v>
      </c>
      <c r="J208" s="2" t="s">
        <v>58</v>
      </c>
      <c r="K208" s="3" t="n">
        <v>46203</v>
      </c>
      <c r="L208" s="2" t="s">
        <v>54</v>
      </c>
    </row>
    <row r="209" customFormat="false" ht="12.75" hidden="false" customHeight="false" outlineLevel="0" collapsed="false">
      <c r="A209" s="2" t="s">
        <v>323</v>
      </c>
      <c r="B209" s="3" t="n">
        <v>46194</v>
      </c>
      <c r="C209" s="2" t="s">
        <v>22</v>
      </c>
      <c r="D209" s="2" t="s">
        <v>14</v>
      </c>
      <c r="E209" s="2" t="s">
        <v>29</v>
      </c>
      <c r="F209" s="2" t="s">
        <v>24</v>
      </c>
      <c r="G209" s="2" t="s">
        <v>17</v>
      </c>
      <c r="H209" s="2" t="s">
        <v>49</v>
      </c>
      <c r="I209" s="2" t="s">
        <v>53</v>
      </c>
      <c r="J209" s="2" t="s">
        <v>20</v>
      </c>
      <c r="K209" s="3" t="n">
        <v>46202</v>
      </c>
      <c r="L209" s="2" t="s">
        <v>32</v>
      </c>
    </row>
    <row r="210" customFormat="false" ht="12.75" hidden="false" customHeight="false" outlineLevel="0" collapsed="false">
      <c r="A210" s="2" t="s">
        <v>75</v>
      </c>
      <c r="B210" s="3" t="n">
        <v>46047</v>
      </c>
      <c r="C210" s="2" t="s">
        <v>61</v>
      </c>
      <c r="D210" s="2" t="s">
        <v>51</v>
      </c>
      <c r="E210" s="2" t="s">
        <v>15</v>
      </c>
      <c r="F210" s="2" t="s">
        <v>24</v>
      </c>
      <c r="G210" s="2" t="s">
        <v>17</v>
      </c>
      <c r="H210" s="2" t="s">
        <v>18</v>
      </c>
      <c r="I210" s="2" t="s">
        <v>19</v>
      </c>
      <c r="J210" s="2" t="s">
        <v>58</v>
      </c>
      <c r="K210" s="2"/>
      <c r="L210" s="2" t="s">
        <v>26</v>
      </c>
    </row>
    <row r="211" customFormat="false" ht="12.75" hidden="false" customHeight="false" outlineLevel="0" collapsed="false">
      <c r="A211" s="2" t="s">
        <v>324</v>
      </c>
      <c r="B211" s="3" t="n">
        <v>46165</v>
      </c>
      <c r="C211" s="2" t="s">
        <v>13</v>
      </c>
      <c r="D211" s="2" t="s">
        <v>215</v>
      </c>
      <c r="E211" s="2" t="s">
        <v>37</v>
      </c>
      <c r="F211" s="2" t="s">
        <v>48</v>
      </c>
      <c r="G211" s="2" t="s">
        <v>17</v>
      </c>
      <c r="H211" s="2" t="s">
        <v>18</v>
      </c>
      <c r="I211" s="2" t="s">
        <v>25</v>
      </c>
      <c r="J211" s="2" t="s">
        <v>111</v>
      </c>
      <c r="K211" s="2"/>
      <c r="L211" s="2" t="s">
        <v>144</v>
      </c>
    </row>
    <row r="212" customFormat="false" ht="12.75" hidden="false" customHeight="false" outlineLevel="0" collapsed="false">
      <c r="A212" s="2" t="s">
        <v>325</v>
      </c>
      <c r="B212" s="3" t="n">
        <v>46127</v>
      </c>
      <c r="C212" s="2" t="s">
        <v>35</v>
      </c>
      <c r="D212" s="2" t="s">
        <v>70</v>
      </c>
      <c r="E212" s="2" t="s">
        <v>15</v>
      </c>
      <c r="F212" s="2" t="s">
        <v>24</v>
      </c>
      <c r="G212" s="2" t="s">
        <v>17</v>
      </c>
      <c r="H212" s="2" t="s">
        <v>49</v>
      </c>
      <c r="I212" s="2" t="s">
        <v>40</v>
      </c>
      <c r="J212" s="2" t="s">
        <v>83</v>
      </c>
      <c r="K212" s="2"/>
      <c r="L212" s="2" t="s">
        <v>63</v>
      </c>
    </row>
    <row r="213" customFormat="false" ht="12.75" hidden="false" customHeight="false" outlineLevel="0" collapsed="false">
      <c r="A213" s="2" t="s">
        <v>326</v>
      </c>
      <c r="B213" s="3" t="n">
        <v>46065</v>
      </c>
      <c r="C213" s="2" t="s">
        <v>69</v>
      </c>
      <c r="D213" s="2" t="s">
        <v>159</v>
      </c>
      <c r="E213" s="2" t="s">
        <v>37</v>
      </c>
      <c r="F213" s="2" t="s">
        <v>38</v>
      </c>
      <c r="G213" s="2" t="s">
        <v>39</v>
      </c>
      <c r="H213" s="2" t="s">
        <v>49</v>
      </c>
      <c r="I213" s="2" t="s">
        <v>40</v>
      </c>
      <c r="J213" s="2" t="s">
        <v>83</v>
      </c>
      <c r="K213" s="2"/>
      <c r="L213" s="2" t="s">
        <v>41</v>
      </c>
    </row>
    <row r="214" customFormat="false" ht="12.75" hidden="false" customHeight="false" outlineLevel="0" collapsed="false">
      <c r="A214" s="2" t="s">
        <v>327</v>
      </c>
      <c r="B214" s="3" t="n">
        <v>46040</v>
      </c>
      <c r="C214" s="2" t="s">
        <v>28</v>
      </c>
      <c r="D214" s="2" t="s">
        <v>56</v>
      </c>
      <c r="E214" s="2" t="s">
        <v>52</v>
      </c>
      <c r="F214" s="2" t="s">
        <v>24</v>
      </c>
      <c r="G214" s="2" t="s">
        <v>17</v>
      </c>
      <c r="H214" s="2" t="s">
        <v>18</v>
      </c>
      <c r="I214" s="2" t="s">
        <v>25</v>
      </c>
      <c r="J214" s="2" t="s">
        <v>20</v>
      </c>
      <c r="K214" s="3" t="n">
        <v>46051</v>
      </c>
      <c r="L214" s="2" t="s">
        <v>88</v>
      </c>
    </row>
    <row r="215" customFormat="false" ht="12.75" hidden="false" customHeight="false" outlineLevel="0" collapsed="false">
      <c r="A215" s="2" t="s">
        <v>328</v>
      </c>
      <c r="B215" s="3" t="n">
        <v>46117</v>
      </c>
      <c r="C215" s="2" t="s">
        <v>13</v>
      </c>
      <c r="D215" s="2" t="s">
        <v>100</v>
      </c>
      <c r="E215" s="2" t="s">
        <v>29</v>
      </c>
      <c r="F215" s="2" t="s">
        <v>16</v>
      </c>
      <c r="G215" s="2" t="s">
        <v>17</v>
      </c>
      <c r="H215" s="2" t="s">
        <v>150</v>
      </c>
      <c r="I215" s="2" t="s">
        <v>25</v>
      </c>
      <c r="J215" s="2" t="s">
        <v>20</v>
      </c>
      <c r="K215" s="3" t="n">
        <v>46141</v>
      </c>
      <c r="L215" s="2" t="s">
        <v>104</v>
      </c>
    </row>
    <row r="216" customFormat="false" ht="12.75" hidden="false" customHeight="false" outlineLevel="0" collapsed="false">
      <c r="A216" s="2" t="s">
        <v>277</v>
      </c>
      <c r="B216" s="3" t="n">
        <v>46086</v>
      </c>
      <c r="C216" s="2" t="s">
        <v>138</v>
      </c>
      <c r="D216" s="2" t="s">
        <v>100</v>
      </c>
      <c r="E216" s="2"/>
      <c r="F216" s="2" t="s">
        <v>48</v>
      </c>
      <c r="G216" s="2" t="s">
        <v>17</v>
      </c>
      <c r="H216" s="2" t="s">
        <v>150</v>
      </c>
      <c r="I216" s="2" t="s">
        <v>40</v>
      </c>
      <c r="J216" s="2" t="s">
        <v>108</v>
      </c>
      <c r="K216" s="2"/>
      <c r="L216" s="2" t="s">
        <v>26</v>
      </c>
    </row>
    <row r="217" customFormat="false" ht="12.75" hidden="false" customHeight="false" outlineLevel="0" collapsed="false">
      <c r="A217" s="2" t="s">
        <v>329</v>
      </c>
      <c r="B217" s="3" t="n">
        <v>46150</v>
      </c>
      <c r="C217" s="2" t="s">
        <v>22</v>
      </c>
      <c r="D217" s="2" t="s">
        <v>36</v>
      </c>
      <c r="E217" s="2" t="s">
        <v>66</v>
      </c>
      <c r="F217" s="2" t="s">
        <v>16</v>
      </c>
      <c r="G217" s="2" t="s">
        <v>17</v>
      </c>
      <c r="H217" s="2" t="s">
        <v>18</v>
      </c>
      <c r="I217" s="2"/>
      <c r="J217" s="2" t="s">
        <v>108</v>
      </c>
      <c r="K217" s="2"/>
      <c r="L217" s="2" t="s">
        <v>67</v>
      </c>
    </row>
    <row r="218" customFormat="false" ht="12.75" hidden="false" customHeight="false" outlineLevel="0" collapsed="false">
      <c r="A218" s="2" t="s">
        <v>330</v>
      </c>
      <c r="B218" s="3" t="n">
        <v>46104</v>
      </c>
      <c r="C218" s="2" t="s">
        <v>22</v>
      </c>
      <c r="D218" s="2" t="s">
        <v>62</v>
      </c>
      <c r="E218" s="2" t="s">
        <v>66</v>
      </c>
      <c r="F218" s="2" t="s">
        <v>16</v>
      </c>
      <c r="G218" s="2" t="s">
        <v>17</v>
      </c>
      <c r="H218" s="2" t="s">
        <v>49</v>
      </c>
      <c r="I218" s="2" t="s">
        <v>53</v>
      </c>
      <c r="J218" s="2" t="s">
        <v>20</v>
      </c>
      <c r="K218" s="3" t="n">
        <v>46106</v>
      </c>
      <c r="L218" s="2" t="s">
        <v>136</v>
      </c>
    </row>
    <row r="219" customFormat="false" ht="12.75" hidden="false" customHeight="false" outlineLevel="0" collapsed="false">
      <c r="A219" s="2" t="s">
        <v>331</v>
      </c>
      <c r="B219" s="3" t="n">
        <v>46179</v>
      </c>
      <c r="C219" s="2" t="s">
        <v>22</v>
      </c>
      <c r="D219" s="2" t="s">
        <v>14</v>
      </c>
      <c r="E219" s="2" t="s">
        <v>29</v>
      </c>
      <c r="F219" s="2" t="s">
        <v>24</v>
      </c>
      <c r="G219" s="2" t="s">
        <v>17</v>
      </c>
      <c r="H219" s="2" t="s">
        <v>18</v>
      </c>
      <c r="I219" s="2" t="s">
        <v>53</v>
      </c>
      <c r="J219" s="2" t="s">
        <v>20</v>
      </c>
      <c r="K219" s="3" t="n">
        <v>46198</v>
      </c>
      <c r="L219" s="2" t="s">
        <v>104</v>
      </c>
    </row>
    <row r="220" customFormat="false" ht="12.75" hidden="false" customHeight="false" outlineLevel="0" collapsed="false">
      <c r="A220" s="2" t="s">
        <v>332</v>
      </c>
      <c r="B220" s="3" t="n">
        <v>46185</v>
      </c>
      <c r="C220" s="2" t="s">
        <v>28</v>
      </c>
      <c r="D220" s="2" t="s">
        <v>157</v>
      </c>
      <c r="E220" s="2" t="s">
        <v>66</v>
      </c>
      <c r="F220" s="2" t="s">
        <v>16</v>
      </c>
      <c r="G220" s="2" t="s">
        <v>17</v>
      </c>
      <c r="H220" s="2" t="s">
        <v>18</v>
      </c>
      <c r="I220" s="2" t="s">
        <v>81</v>
      </c>
      <c r="J220" s="2" t="s">
        <v>20</v>
      </c>
      <c r="K220" s="3" t="n">
        <v>46204</v>
      </c>
      <c r="L220" s="2" t="s">
        <v>86</v>
      </c>
    </row>
    <row r="221" customFormat="false" ht="12.75" hidden="false" customHeight="false" outlineLevel="0" collapsed="false">
      <c r="A221" s="2" t="s">
        <v>333</v>
      </c>
      <c r="B221" s="3" t="n">
        <v>46181</v>
      </c>
      <c r="C221" s="2" t="s">
        <v>35</v>
      </c>
      <c r="D221" s="2" t="s">
        <v>51</v>
      </c>
      <c r="E221" s="2" t="s">
        <v>29</v>
      </c>
      <c r="F221" s="2" t="s">
        <v>16</v>
      </c>
      <c r="G221" s="2" t="s">
        <v>17</v>
      </c>
      <c r="H221" s="2" t="s">
        <v>57</v>
      </c>
      <c r="I221" s="2" t="s">
        <v>53</v>
      </c>
      <c r="J221" s="2" t="s">
        <v>20</v>
      </c>
      <c r="K221" s="3" t="n">
        <v>46204</v>
      </c>
      <c r="L221" s="2" t="s">
        <v>32</v>
      </c>
    </row>
    <row r="222" customFormat="false" ht="12.75" hidden="false" customHeight="false" outlineLevel="0" collapsed="false">
      <c r="A222" s="2" t="s">
        <v>334</v>
      </c>
      <c r="B222" s="3" t="n">
        <v>46066</v>
      </c>
      <c r="C222" s="2" t="s">
        <v>61</v>
      </c>
      <c r="D222" s="2" t="s">
        <v>56</v>
      </c>
      <c r="E222" s="2" t="s">
        <v>29</v>
      </c>
      <c r="F222" s="2" t="s">
        <v>16</v>
      </c>
      <c r="G222" s="2" t="s">
        <v>17</v>
      </c>
      <c r="H222" s="2" t="s">
        <v>49</v>
      </c>
      <c r="I222" s="2" t="s">
        <v>40</v>
      </c>
      <c r="J222" s="2" t="s">
        <v>134</v>
      </c>
      <c r="K222" s="3" t="n">
        <v>46062</v>
      </c>
      <c r="L222" s="2" t="s">
        <v>104</v>
      </c>
    </row>
    <row r="223" customFormat="false" ht="12.75" hidden="false" customHeight="false" outlineLevel="0" collapsed="false">
      <c r="A223" s="2" t="s">
        <v>335</v>
      </c>
      <c r="B223" s="3" t="n">
        <v>46111</v>
      </c>
      <c r="C223" s="2" t="s">
        <v>61</v>
      </c>
      <c r="D223" s="2" t="s">
        <v>116</v>
      </c>
      <c r="E223" s="2" t="s">
        <v>37</v>
      </c>
      <c r="F223" s="2" t="s">
        <v>24</v>
      </c>
      <c r="G223" s="2" t="s">
        <v>17</v>
      </c>
      <c r="H223" s="2" t="s">
        <v>77</v>
      </c>
      <c r="I223" s="2" t="s">
        <v>81</v>
      </c>
      <c r="J223" s="2" t="s">
        <v>83</v>
      </c>
      <c r="K223" s="2"/>
      <c r="L223" s="2" t="s">
        <v>59</v>
      </c>
    </row>
    <row r="224" customFormat="false" ht="12.75" hidden="false" customHeight="false" outlineLevel="0" collapsed="false">
      <c r="A224" s="2" t="s">
        <v>336</v>
      </c>
      <c r="B224" s="3" t="n">
        <v>46081</v>
      </c>
      <c r="C224" s="2" t="s">
        <v>28</v>
      </c>
      <c r="D224" s="2" t="s">
        <v>51</v>
      </c>
      <c r="E224" s="2" t="s">
        <v>29</v>
      </c>
      <c r="F224" s="2" t="s">
        <v>24</v>
      </c>
      <c r="G224" s="2" t="s">
        <v>17</v>
      </c>
      <c r="H224" s="2" t="s">
        <v>18</v>
      </c>
      <c r="I224" s="2" t="s">
        <v>25</v>
      </c>
      <c r="J224" s="2" t="s">
        <v>20</v>
      </c>
      <c r="K224" s="3" t="n">
        <v>46107</v>
      </c>
      <c r="L224" s="2" t="s">
        <v>104</v>
      </c>
    </row>
    <row r="225" customFormat="false" ht="12.75" hidden="false" customHeight="false" outlineLevel="0" collapsed="false">
      <c r="A225" s="2" t="s">
        <v>337</v>
      </c>
      <c r="B225" s="3" t="n">
        <v>46159</v>
      </c>
      <c r="C225" s="2" t="s">
        <v>22</v>
      </c>
      <c r="D225" s="2" t="s">
        <v>36</v>
      </c>
      <c r="E225" s="2" t="s">
        <v>66</v>
      </c>
      <c r="F225" s="2" t="s">
        <v>48</v>
      </c>
      <c r="G225" s="2" t="s">
        <v>17</v>
      </c>
      <c r="H225" s="2" t="s">
        <v>18</v>
      </c>
      <c r="I225" s="2"/>
      <c r="J225" s="2" t="s">
        <v>129</v>
      </c>
      <c r="K225" s="2"/>
      <c r="L225" s="2" t="s">
        <v>136</v>
      </c>
    </row>
    <row r="226" customFormat="false" ht="12.75" hidden="false" customHeight="false" outlineLevel="0" collapsed="false">
      <c r="A226" s="2" t="s">
        <v>338</v>
      </c>
      <c r="B226" s="3" t="n">
        <v>46041</v>
      </c>
      <c r="C226" s="2" t="s">
        <v>35</v>
      </c>
      <c r="D226" s="2" t="s">
        <v>51</v>
      </c>
      <c r="E226" s="2"/>
      <c r="F226" s="2" t="s">
        <v>24</v>
      </c>
      <c r="G226" s="2" t="s">
        <v>17</v>
      </c>
      <c r="H226" s="2" t="s">
        <v>77</v>
      </c>
      <c r="I226" s="2" t="s">
        <v>40</v>
      </c>
      <c r="J226" s="2" t="s">
        <v>134</v>
      </c>
      <c r="K226" s="3" t="n">
        <v>46061</v>
      </c>
      <c r="L226" s="2" t="s">
        <v>88</v>
      </c>
    </row>
    <row r="227" customFormat="false" ht="12.75" hidden="false" customHeight="false" outlineLevel="0" collapsed="false">
      <c r="A227" s="2" t="s">
        <v>339</v>
      </c>
      <c r="B227" s="3" t="n">
        <v>46091</v>
      </c>
      <c r="C227" s="2" t="s">
        <v>202</v>
      </c>
      <c r="D227" s="2" t="s">
        <v>100</v>
      </c>
      <c r="E227" s="2" t="s">
        <v>37</v>
      </c>
      <c r="F227" s="2" t="s">
        <v>24</v>
      </c>
      <c r="G227" s="2" t="s">
        <v>17</v>
      </c>
      <c r="H227" s="2" t="s">
        <v>18</v>
      </c>
      <c r="I227" s="2" t="s">
        <v>53</v>
      </c>
      <c r="J227" s="2" t="s">
        <v>108</v>
      </c>
      <c r="K227" s="2"/>
      <c r="L227" s="2" t="s">
        <v>144</v>
      </c>
    </row>
    <row r="228" customFormat="false" ht="12.75" hidden="false" customHeight="false" outlineLevel="0" collapsed="false">
      <c r="A228" s="2" t="s">
        <v>340</v>
      </c>
      <c r="B228" s="3" t="n">
        <v>46100</v>
      </c>
      <c r="C228" s="2" t="s">
        <v>61</v>
      </c>
      <c r="D228" s="2" t="s">
        <v>65</v>
      </c>
      <c r="E228" s="2" t="s">
        <v>37</v>
      </c>
      <c r="F228" s="2" t="s">
        <v>24</v>
      </c>
      <c r="G228" s="2" t="s">
        <v>17</v>
      </c>
      <c r="H228" s="2" t="s">
        <v>49</v>
      </c>
      <c r="I228" s="2" t="s">
        <v>53</v>
      </c>
      <c r="J228" s="2" t="s">
        <v>71</v>
      </c>
      <c r="K228" s="3" t="n">
        <v>46107</v>
      </c>
      <c r="L228" s="2" t="s">
        <v>59</v>
      </c>
    </row>
    <row r="229" customFormat="false" ht="12.75" hidden="false" customHeight="false" outlineLevel="0" collapsed="false">
      <c r="A229" s="2" t="s">
        <v>341</v>
      </c>
      <c r="B229" s="3" t="n">
        <v>46120</v>
      </c>
      <c r="C229" s="2" t="s">
        <v>13</v>
      </c>
      <c r="D229" s="2" t="s">
        <v>23</v>
      </c>
      <c r="E229" s="2" t="s">
        <v>29</v>
      </c>
      <c r="F229" s="2" t="s">
        <v>24</v>
      </c>
      <c r="G229" s="2" t="s">
        <v>17</v>
      </c>
      <c r="H229" s="2" t="s">
        <v>18</v>
      </c>
      <c r="I229" s="2" t="s">
        <v>19</v>
      </c>
      <c r="J229" s="2" t="s">
        <v>20</v>
      </c>
      <c r="K229" s="3" t="n">
        <v>46122</v>
      </c>
      <c r="L229" s="2" t="s">
        <v>104</v>
      </c>
    </row>
    <row r="230" customFormat="false" ht="12.75" hidden="false" customHeight="false" outlineLevel="0" collapsed="false">
      <c r="A230" s="2" t="s">
        <v>342</v>
      </c>
      <c r="B230" s="3" t="n">
        <v>46088</v>
      </c>
      <c r="C230" s="2" t="s">
        <v>13</v>
      </c>
      <c r="D230" s="2" t="s">
        <v>14</v>
      </c>
      <c r="E230" s="2" t="s">
        <v>52</v>
      </c>
      <c r="F230" s="2" t="s">
        <v>30</v>
      </c>
      <c r="G230" s="2" t="s">
        <v>17</v>
      </c>
      <c r="H230" s="2" t="s">
        <v>18</v>
      </c>
      <c r="I230" s="2" t="s">
        <v>25</v>
      </c>
      <c r="J230" s="2" t="s">
        <v>20</v>
      </c>
      <c r="K230" s="3" t="n">
        <v>46105</v>
      </c>
      <c r="L230" s="2" t="s">
        <v>95</v>
      </c>
    </row>
    <row r="231" customFormat="false" ht="12.75" hidden="false" customHeight="false" outlineLevel="0" collapsed="false">
      <c r="A231" s="2" t="s">
        <v>343</v>
      </c>
      <c r="B231" s="3" t="n">
        <v>46036</v>
      </c>
      <c r="C231" s="2" t="s">
        <v>61</v>
      </c>
      <c r="D231" s="2" t="s">
        <v>266</v>
      </c>
      <c r="E231" s="2" t="s">
        <v>52</v>
      </c>
      <c r="F231" s="2" t="s">
        <v>24</v>
      </c>
      <c r="G231" s="2" t="s">
        <v>17</v>
      </c>
      <c r="H231" s="2" t="s">
        <v>179</v>
      </c>
      <c r="I231" s="2" t="s">
        <v>40</v>
      </c>
      <c r="J231" s="2" t="s">
        <v>83</v>
      </c>
      <c r="K231" s="3" t="n">
        <v>46054</v>
      </c>
      <c r="L231" s="2" t="s">
        <v>88</v>
      </c>
    </row>
    <row r="232" customFormat="false" ht="12.75" hidden="false" customHeight="false" outlineLevel="0" collapsed="false">
      <c r="A232" s="2" t="s">
        <v>344</v>
      </c>
      <c r="B232" s="3" t="n">
        <v>46032</v>
      </c>
      <c r="C232" s="2" t="s">
        <v>13</v>
      </c>
      <c r="D232" s="2" t="s">
        <v>23</v>
      </c>
      <c r="E232" s="2" t="s">
        <v>29</v>
      </c>
      <c r="F232" s="2" t="s">
        <v>24</v>
      </c>
      <c r="G232" s="2" t="s">
        <v>17</v>
      </c>
      <c r="H232" s="2" t="s">
        <v>150</v>
      </c>
      <c r="I232" s="2" t="s">
        <v>53</v>
      </c>
      <c r="J232" s="2" t="s">
        <v>83</v>
      </c>
      <c r="K232" s="2"/>
      <c r="L232" s="2" t="s">
        <v>104</v>
      </c>
    </row>
    <row r="233" customFormat="false" ht="12.75" hidden="false" customHeight="false" outlineLevel="0" collapsed="false">
      <c r="A233" s="2" t="s">
        <v>345</v>
      </c>
      <c r="B233" s="3" t="n">
        <v>46107</v>
      </c>
      <c r="C233" s="2" t="s">
        <v>35</v>
      </c>
      <c r="D233" s="2" t="s">
        <v>14</v>
      </c>
      <c r="E233" s="2" t="s">
        <v>52</v>
      </c>
      <c r="F233" s="2" t="s">
        <v>24</v>
      </c>
      <c r="G233" s="2" t="s">
        <v>17</v>
      </c>
      <c r="H233" s="2" t="s">
        <v>49</v>
      </c>
      <c r="I233" s="2" t="s">
        <v>40</v>
      </c>
      <c r="J233" s="2" t="s">
        <v>134</v>
      </c>
      <c r="K233" s="3" t="n">
        <v>46117</v>
      </c>
      <c r="L233" s="2" t="s">
        <v>54</v>
      </c>
    </row>
    <row r="234" customFormat="false" ht="12.75" hidden="false" customHeight="false" outlineLevel="0" collapsed="false">
      <c r="A234" s="2" t="s">
        <v>346</v>
      </c>
      <c r="B234" s="3" t="n">
        <v>46220</v>
      </c>
      <c r="C234" s="2" t="s">
        <v>28</v>
      </c>
      <c r="D234" s="2" t="s">
        <v>51</v>
      </c>
      <c r="E234" s="2" t="s">
        <v>52</v>
      </c>
      <c r="F234" s="2" t="s">
        <v>24</v>
      </c>
      <c r="G234" s="2" t="s">
        <v>17</v>
      </c>
      <c r="H234" s="2" t="s">
        <v>110</v>
      </c>
      <c r="I234" s="2" t="s">
        <v>53</v>
      </c>
      <c r="J234" s="2" t="s">
        <v>20</v>
      </c>
      <c r="K234" s="3" t="n">
        <v>46248</v>
      </c>
      <c r="L234" s="2" t="s">
        <v>97</v>
      </c>
    </row>
    <row r="235" customFormat="false" ht="12.75" hidden="false" customHeight="false" outlineLevel="0" collapsed="false">
      <c r="A235" s="2" t="s">
        <v>347</v>
      </c>
      <c r="B235" s="3" t="n">
        <v>46157</v>
      </c>
      <c r="C235" s="2" t="s">
        <v>13</v>
      </c>
      <c r="D235" s="2" t="s">
        <v>23</v>
      </c>
      <c r="E235" s="2" t="s">
        <v>52</v>
      </c>
      <c r="F235" s="2" t="s">
        <v>38</v>
      </c>
      <c r="G235" s="2" t="s">
        <v>39</v>
      </c>
      <c r="H235" s="2" t="s">
        <v>18</v>
      </c>
      <c r="I235" s="2" t="s">
        <v>53</v>
      </c>
      <c r="J235" s="2" t="s">
        <v>83</v>
      </c>
      <c r="K235" s="2"/>
      <c r="L235" s="2" t="s">
        <v>41</v>
      </c>
    </row>
    <row r="236" customFormat="false" ht="12.75" hidden="false" customHeight="false" outlineLevel="0" collapsed="false">
      <c r="A236" s="2" t="s">
        <v>348</v>
      </c>
      <c r="B236" s="3" t="n">
        <v>46122</v>
      </c>
      <c r="C236" s="2" t="s">
        <v>61</v>
      </c>
      <c r="D236" s="2" t="s">
        <v>23</v>
      </c>
      <c r="E236" s="2" t="s">
        <v>37</v>
      </c>
      <c r="F236" s="2" t="s">
        <v>30</v>
      </c>
      <c r="G236" s="2" t="s">
        <v>17</v>
      </c>
      <c r="H236" s="2" t="s">
        <v>18</v>
      </c>
      <c r="I236" s="2" t="s">
        <v>25</v>
      </c>
      <c r="J236" s="2" t="s">
        <v>20</v>
      </c>
      <c r="K236" s="3" t="n">
        <v>46135</v>
      </c>
      <c r="L236" s="2" t="s">
        <v>144</v>
      </c>
    </row>
    <row r="237" customFormat="false" ht="12.75" hidden="false" customHeight="false" outlineLevel="0" collapsed="false">
      <c r="A237" s="2" t="s">
        <v>349</v>
      </c>
      <c r="B237" s="3" t="n">
        <v>46168</v>
      </c>
      <c r="C237" s="2" t="s">
        <v>28</v>
      </c>
      <c r="D237" s="2" t="s">
        <v>14</v>
      </c>
      <c r="E237" s="2" t="s">
        <v>29</v>
      </c>
      <c r="F237" s="2" t="s">
        <v>24</v>
      </c>
      <c r="G237" s="2" t="s">
        <v>17</v>
      </c>
      <c r="H237" s="2" t="s">
        <v>49</v>
      </c>
      <c r="I237" s="2" t="s">
        <v>53</v>
      </c>
      <c r="J237" s="2" t="s">
        <v>20</v>
      </c>
      <c r="K237" s="2" t="s">
        <v>350</v>
      </c>
      <c r="L237" s="2" t="s">
        <v>45</v>
      </c>
    </row>
    <row r="238" customFormat="false" ht="12.75" hidden="false" customHeight="false" outlineLevel="0" collapsed="false">
      <c r="A238" s="2" t="s">
        <v>351</v>
      </c>
      <c r="B238" s="3" t="n">
        <v>46167</v>
      </c>
      <c r="C238" s="2" t="s">
        <v>35</v>
      </c>
      <c r="D238" s="2" t="s">
        <v>23</v>
      </c>
      <c r="E238" s="2" t="s">
        <v>29</v>
      </c>
      <c r="F238" s="2" t="s">
        <v>24</v>
      </c>
      <c r="G238" s="2" t="s">
        <v>17</v>
      </c>
      <c r="H238" s="2" t="s">
        <v>18</v>
      </c>
      <c r="I238" s="2" t="s">
        <v>40</v>
      </c>
      <c r="J238" s="2" t="s">
        <v>20</v>
      </c>
      <c r="K238" s="3" t="n">
        <v>46174</v>
      </c>
      <c r="L238" s="2" t="s">
        <v>104</v>
      </c>
    </row>
    <row r="239" customFormat="false" ht="12.75" hidden="false" customHeight="false" outlineLevel="0" collapsed="false">
      <c r="A239" s="2" t="s">
        <v>352</v>
      </c>
      <c r="B239" s="3" t="n">
        <v>46175</v>
      </c>
      <c r="C239" s="2" t="s">
        <v>28</v>
      </c>
      <c r="D239" s="2" t="s">
        <v>56</v>
      </c>
      <c r="E239" s="2" t="s">
        <v>29</v>
      </c>
      <c r="F239" s="2" t="s">
        <v>24</v>
      </c>
      <c r="G239" s="2" t="s">
        <v>17</v>
      </c>
      <c r="H239" s="2" t="s">
        <v>49</v>
      </c>
      <c r="I239" s="2" t="s">
        <v>19</v>
      </c>
      <c r="J239" s="2" t="s">
        <v>83</v>
      </c>
      <c r="K239" s="2"/>
      <c r="L239" s="2" t="s">
        <v>32</v>
      </c>
    </row>
    <row r="240" customFormat="false" ht="12.75" hidden="false" customHeight="false" outlineLevel="0" collapsed="false">
      <c r="A240" s="2" t="s">
        <v>353</v>
      </c>
      <c r="B240" s="3" t="n">
        <v>46132</v>
      </c>
      <c r="C240" s="2" t="s">
        <v>61</v>
      </c>
      <c r="D240" s="2" t="s">
        <v>116</v>
      </c>
      <c r="E240" s="2" t="s">
        <v>66</v>
      </c>
      <c r="F240" s="2" t="s">
        <v>48</v>
      </c>
      <c r="G240" s="2" t="s">
        <v>17</v>
      </c>
      <c r="H240" s="2" t="s">
        <v>18</v>
      </c>
      <c r="I240" s="2" t="s">
        <v>25</v>
      </c>
      <c r="J240" s="2" t="s">
        <v>83</v>
      </c>
      <c r="K240" s="2"/>
      <c r="L240" s="2" t="s">
        <v>136</v>
      </c>
    </row>
    <row r="241" customFormat="false" ht="12.75" hidden="false" customHeight="false" outlineLevel="0" collapsed="false">
      <c r="A241" s="2" t="s">
        <v>354</v>
      </c>
      <c r="B241" s="3" t="n">
        <v>46170</v>
      </c>
      <c r="C241" s="2" t="s">
        <v>35</v>
      </c>
      <c r="D241" s="2" t="s">
        <v>116</v>
      </c>
      <c r="E241" s="2" t="s">
        <v>29</v>
      </c>
      <c r="F241" s="2" t="s">
        <v>24</v>
      </c>
      <c r="G241" s="2" t="s">
        <v>17</v>
      </c>
      <c r="H241" s="2" t="s">
        <v>18</v>
      </c>
      <c r="I241" s="2" t="s">
        <v>53</v>
      </c>
      <c r="J241" s="2" t="s">
        <v>58</v>
      </c>
      <c r="K241" s="2"/>
      <c r="L241" s="2" t="s">
        <v>104</v>
      </c>
    </row>
    <row r="242" customFormat="false" ht="12.75" hidden="false" customHeight="false" outlineLevel="0" collapsed="false">
      <c r="A242" s="2" t="s">
        <v>355</v>
      </c>
      <c r="B242" s="3" t="n">
        <v>46046</v>
      </c>
      <c r="C242" s="2" t="s">
        <v>28</v>
      </c>
      <c r="D242" s="2" t="s">
        <v>266</v>
      </c>
      <c r="E242" s="2" t="s">
        <v>66</v>
      </c>
      <c r="F242" s="2" t="s">
        <v>24</v>
      </c>
      <c r="G242" s="2" t="s">
        <v>17</v>
      </c>
      <c r="H242" s="2" t="s">
        <v>49</v>
      </c>
      <c r="I242" s="2" t="s">
        <v>19</v>
      </c>
      <c r="J242" s="2" t="s">
        <v>71</v>
      </c>
      <c r="K242" s="3" t="n">
        <v>46064</v>
      </c>
      <c r="L242" s="2"/>
    </row>
    <row r="243" customFormat="false" ht="12.75" hidden="false" customHeight="false" outlineLevel="0" collapsed="false">
      <c r="A243" s="2" t="s">
        <v>356</v>
      </c>
      <c r="B243" s="3" t="n">
        <v>46176</v>
      </c>
      <c r="C243" s="2" t="s">
        <v>22</v>
      </c>
      <c r="D243" s="2" t="s">
        <v>203</v>
      </c>
      <c r="E243" s="2" t="s">
        <v>52</v>
      </c>
      <c r="F243" s="2" t="s">
        <v>16</v>
      </c>
      <c r="G243" s="2" t="s">
        <v>17</v>
      </c>
      <c r="H243" s="2" t="s">
        <v>80</v>
      </c>
      <c r="I243" s="2" t="s">
        <v>53</v>
      </c>
      <c r="J243" s="2" t="s">
        <v>182</v>
      </c>
      <c r="K243" s="2"/>
      <c r="L243" s="2" t="s">
        <v>97</v>
      </c>
    </row>
    <row r="244" customFormat="false" ht="12.75" hidden="false" customHeight="false" outlineLevel="0" collapsed="false">
      <c r="A244" s="2" t="s">
        <v>357</v>
      </c>
      <c r="B244" s="3" t="n">
        <v>46172</v>
      </c>
      <c r="C244" s="2" t="s">
        <v>61</v>
      </c>
      <c r="D244" s="2" t="s">
        <v>51</v>
      </c>
      <c r="E244" s="2" t="s">
        <v>37</v>
      </c>
      <c r="F244" s="2" t="s">
        <v>30</v>
      </c>
      <c r="G244" s="2" t="s">
        <v>17</v>
      </c>
      <c r="H244" s="2" t="s">
        <v>49</v>
      </c>
      <c r="I244" s="2" t="s">
        <v>40</v>
      </c>
      <c r="J244" s="2" t="s">
        <v>58</v>
      </c>
      <c r="K244" s="2"/>
      <c r="L244" s="2" t="s">
        <v>144</v>
      </c>
    </row>
    <row r="245" customFormat="false" ht="12.75" hidden="false" customHeight="false" outlineLevel="0" collapsed="false">
      <c r="A245" s="2" t="s">
        <v>358</v>
      </c>
      <c r="B245" s="3" t="n">
        <v>46180</v>
      </c>
      <c r="C245" s="2" t="s">
        <v>28</v>
      </c>
      <c r="D245" s="2" t="s">
        <v>100</v>
      </c>
      <c r="E245" s="2" t="s">
        <v>66</v>
      </c>
      <c r="F245" s="2" t="s">
        <v>24</v>
      </c>
      <c r="G245" s="2" t="s">
        <v>17</v>
      </c>
      <c r="H245" s="2" t="s">
        <v>49</v>
      </c>
      <c r="I245" s="2" t="s">
        <v>53</v>
      </c>
      <c r="J245" s="2" t="s">
        <v>20</v>
      </c>
      <c r="K245" s="3" t="n">
        <v>46193</v>
      </c>
      <c r="L245" s="2" t="s">
        <v>86</v>
      </c>
    </row>
    <row r="246" customFormat="false" ht="12.75" hidden="false" customHeight="false" outlineLevel="0" collapsed="false">
      <c r="A246" s="2" t="s">
        <v>359</v>
      </c>
      <c r="B246" s="2" t="s">
        <v>360</v>
      </c>
      <c r="C246" s="2" t="s">
        <v>35</v>
      </c>
      <c r="D246" s="2" t="s">
        <v>36</v>
      </c>
      <c r="E246" s="2" t="s">
        <v>29</v>
      </c>
      <c r="F246" s="2" t="s">
        <v>16</v>
      </c>
      <c r="G246" s="2" t="s">
        <v>17</v>
      </c>
      <c r="H246" s="2" t="s">
        <v>49</v>
      </c>
      <c r="I246" s="2" t="s">
        <v>25</v>
      </c>
      <c r="J246" s="2" t="s">
        <v>58</v>
      </c>
      <c r="K246" s="2"/>
      <c r="L246" s="2" t="s">
        <v>45</v>
      </c>
    </row>
    <row r="247" customFormat="false" ht="12.75" hidden="false" customHeight="false" outlineLevel="0" collapsed="false">
      <c r="A247" s="2" t="s">
        <v>361</v>
      </c>
      <c r="B247" s="3" t="n">
        <v>46068</v>
      </c>
      <c r="C247" s="2" t="s">
        <v>35</v>
      </c>
      <c r="D247" s="2" t="s">
        <v>100</v>
      </c>
      <c r="E247" s="2" t="s">
        <v>37</v>
      </c>
      <c r="F247" s="2" t="s">
        <v>24</v>
      </c>
      <c r="G247" s="2" t="s">
        <v>17</v>
      </c>
      <c r="H247" s="2" t="s">
        <v>49</v>
      </c>
      <c r="I247" s="2" t="s">
        <v>25</v>
      </c>
      <c r="J247" s="2" t="s">
        <v>58</v>
      </c>
      <c r="K247" s="2"/>
      <c r="L247" s="2" t="s">
        <v>144</v>
      </c>
    </row>
    <row r="248" customFormat="false" ht="12.75" hidden="false" customHeight="false" outlineLevel="0" collapsed="false">
      <c r="A248" s="2" t="s">
        <v>362</v>
      </c>
      <c r="B248" s="3" t="n">
        <v>46207</v>
      </c>
      <c r="C248" s="2" t="s">
        <v>61</v>
      </c>
      <c r="D248" s="2" t="s">
        <v>100</v>
      </c>
      <c r="E248" s="2" t="s">
        <v>15</v>
      </c>
      <c r="F248" s="2" t="s">
        <v>38</v>
      </c>
      <c r="G248" s="2" t="s">
        <v>39</v>
      </c>
      <c r="H248" s="2" t="s">
        <v>49</v>
      </c>
      <c r="I248" s="2" t="s">
        <v>40</v>
      </c>
      <c r="J248" s="2" t="s">
        <v>106</v>
      </c>
      <c r="K248" s="2"/>
      <c r="L248" s="2" t="s">
        <v>41</v>
      </c>
    </row>
    <row r="249" customFormat="false" ht="12.75" hidden="false" customHeight="false" outlineLevel="0" collapsed="false">
      <c r="A249" s="2" t="s">
        <v>250</v>
      </c>
      <c r="B249" s="3" t="n">
        <v>46209</v>
      </c>
      <c r="C249" s="2" t="s">
        <v>103</v>
      </c>
      <c r="D249" s="2" t="s">
        <v>56</v>
      </c>
      <c r="E249" s="2" t="s">
        <v>29</v>
      </c>
      <c r="F249" s="2" t="s">
        <v>24</v>
      </c>
      <c r="G249" s="2" t="s">
        <v>17</v>
      </c>
      <c r="H249" s="2" t="s">
        <v>49</v>
      </c>
      <c r="I249" s="2" t="s">
        <v>25</v>
      </c>
      <c r="J249" s="2" t="s">
        <v>182</v>
      </c>
      <c r="K249" s="2"/>
      <c r="L249" s="2" t="s">
        <v>32</v>
      </c>
    </row>
    <row r="250" customFormat="false" ht="12.75" hidden="false" customHeight="false" outlineLevel="0" collapsed="false">
      <c r="A250" s="2" t="s">
        <v>314</v>
      </c>
      <c r="B250" s="3" t="n">
        <v>46073</v>
      </c>
      <c r="C250" s="2" t="s">
        <v>28</v>
      </c>
      <c r="D250" s="2" t="s">
        <v>14</v>
      </c>
      <c r="E250" s="2" t="s">
        <v>37</v>
      </c>
      <c r="F250" s="2" t="s">
        <v>24</v>
      </c>
      <c r="G250" s="2" t="s">
        <v>17</v>
      </c>
      <c r="H250" s="2" t="s">
        <v>18</v>
      </c>
      <c r="I250" s="2" t="s">
        <v>19</v>
      </c>
      <c r="J250" s="2" t="s">
        <v>20</v>
      </c>
      <c r="K250" s="3" t="n">
        <v>46078</v>
      </c>
      <c r="L250" s="2" t="s">
        <v>72</v>
      </c>
    </row>
    <row r="251" customFormat="false" ht="12.75" hidden="false" customHeight="false" outlineLevel="0" collapsed="false">
      <c r="A251" s="2" t="s">
        <v>363</v>
      </c>
      <c r="B251" s="3" t="n">
        <v>46095</v>
      </c>
      <c r="C251" s="2" t="s">
        <v>121</v>
      </c>
      <c r="D251" s="2" t="s">
        <v>14</v>
      </c>
      <c r="E251" s="2" t="s">
        <v>37</v>
      </c>
      <c r="F251" s="2" t="s">
        <v>24</v>
      </c>
      <c r="G251" s="2" t="s">
        <v>17</v>
      </c>
      <c r="H251" s="2" t="s">
        <v>18</v>
      </c>
      <c r="I251" s="2" t="s">
        <v>53</v>
      </c>
      <c r="J251" s="2" t="s">
        <v>83</v>
      </c>
      <c r="K251" s="2"/>
      <c r="L251" s="2" t="s">
        <v>59</v>
      </c>
    </row>
    <row r="252" customFormat="false" ht="12.75" hidden="false" customHeight="false" outlineLevel="0" collapsed="false">
      <c r="A252" s="2" t="s">
        <v>364</v>
      </c>
      <c r="B252" s="3" t="n">
        <v>46105</v>
      </c>
      <c r="C252" s="2" t="s">
        <v>22</v>
      </c>
      <c r="D252" s="2" t="s">
        <v>100</v>
      </c>
      <c r="E252" s="2" t="s">
        <v>52</v>
      </c>
      <c r="F252" s="2" t="s">
        <v>48</v>
      </c>
      <c r="G252" s="2" t="s">
        <v>17</v>
      </c>
      <c r="H252" s="2" t="s">
        <v>18</v>
      </c>
      <c r="I252" s="2" t="s">
        <v>25</v>
      </c>
      <c r="J252" s="2" t="s">
        <v>20</v>
      </c>
      <c r="K252" s="2" t="s">
        <v>365</v>
      </c>
      <c r="L252" s="2" t="s">
        <v>88</v>
      </c>
    </row>
    <row r="253" customFormat="false" ht="12.75" hidden="false" customHeight="false" outlineLevel="0" collapsed="false">
      <c r="A253" s="2" t="s">
        <v>366</v>
      </c>
      <c r="B253" s="3" t="n">
        <v>46027</v>
      </c>
      <c r="C253" s="2" t="s">
        <v>69</v>
      </c>
      <c r="D253" s="2" t="s">
        <v>23</v>
      </c>
      <c r="E253" s="2" t="s">
        <v>52</v>
      </c>
      <c r="F253" s="2" t="s">
        <v>16</v>
      </c>
      <c r="G253" s="2" t="s">
        <v>17</v>
      </c>
      <c r="H253" s="2" t="s">
        <v>49</v>
      </c>
      <c r="I253" s="2" t="s">
        <v>19</v>
      </c>
      <c r="J253" s="2" t="s">
        <v>83</v>
      </c>
      <c r="K253" s="2"/>
      <c r="L253" s="2" t="s">
        <v>88</v>
      </c>
    </row>
    <row r="254" customFormat="false" ht="12.75" hidden="false" customHeight="false" outlineLevel="0" collapsed="false">
      <c r="A254" s="2" t="s">
        <v>367</v>
      </c>
      <c r="B254" s="3" t="n">
        <v>46107</v>
      </c>
      <c r="C254" s="2" t="s">
        <v>13</v>
      </c>
      <c r="D254" s="2" t="s">
        <v>36</v>
      </c>
      <c r="E254" s="2" t="s">
        <v>52</v>
      </c>
      <c r="F254" s="2" t="s">
        <v>16</v>
      </c>
      <c r="G254" s="2" t="s">
        <v>17</v>
      </c>
      <c r="H254" s="2" t="s">
        <v>49</v>
      </c>
      <c r="I254" s="2" t="s">
        <v>53</v>
      </c>
      <c r="J254" s="2" t="s">
        <v>83</v>
      </c>
      <c r="K254" s="2"/>
      <c r="L254" s="2" t="s">
        <v>97</v>
      </c>
    </row>
    <row r="255" customFormat="false" ht="12.75" hidden="false" customHeight="false" outlineLevel="0" collapsed="false">
      <c r="A255" s="2" t="s">
        <v>368</v>
      </c>
      <c r="B255" s="3" t="n">
        <v>46133</v>
      </c>
      <c r="C255" s="2" t="s">
        <v>13</v>
      </c>
      <c r="D255" s="2" t="s">
        <v>70</v>
      </c>
      <c r="E255" s="2" t="s">
        <v>52</v>
      </c>
      <c r="F255" s="2" t="s">
        <v>16</v>
      </c>
      <c r="G255" s="2" t="s">
        <v>17</v>
      </c>
      <c r="H255" s="2" t="s">
        <v>150</v>
      </c>
      <c r="I255" s="2" t="s">
        <v>53</v>
      </c>
      <c r="J255" s="2" t="s">
        <v>58</v>
      </c>
      <c r="K255" s="2"/>
      <c r="L255" s="2" t="s">
        <v>54</v>
      </c>
    </row>
    <row r="256" customFormat="false" ht="12.75" hidden="false" customHeight="false" outlineLevel="0" collapsed="false">
      <c r="A256" s="2" t="s">
        <v>369</v>
      </c>
      <c r="B256" s="3" t="n">
        <v>46083</v>
      </c>
      <c r="C256" s="2" t="s">
        <v>28</v>
      </c>
      <c r="D256" s="2" t="s">
        <v>36</v>
      </c>
      <c r="E256" s="2" t="s">
        <v>66</v>
      </c>
      <c r="F256" s="2" t="s">
        <v>16</v>
      </c>
      <c r="G256" s="2" t="s">
        <v>17</v>
      </c>
      <c r="H256" s="2" t="s">
        <v>18</v>
      </c>
      <c r="I256" s="2" t="s">
        <v>53</v>
      </c>
      <c r="J256" s="2" t="s">
        <v>20</v>
      </c>
      <c r="K256" s="2" t="s">
        <v>370</v>
      </c>
      <c r="L256" s="2" t="s">
        <v>67</v>
      </c>
    </row>
    <row r="257" customFormat="false" ht="12.75" hidden="false" customHeight="false" outlineLevel="0" collapsed="false">
      <c r="A257" s="2" t="s">
        <v>371</v>
      </c>
      <c r="B257" s="3" t="n">
        <v>46116</v>
      </c>
      <c r="C257" s="2" t="s">
        <v>69</v>
      </c>
      <c r="D257" s="2" t="s">
        <v>215</v>
      </c>
      <c r="E257" s="2" t="s">
        <v>29</v>
      </c>
      <c r="F257" s="2" t="s">
        <v>16</v>
      </c>
      <c r="G257" s="2" t="s">
        <v>17</v>
      </c>
      <c r="H257" s="2" t="s">
        <v>49</v>
      </c>
      <c r="I257" s="2" t="s">
        <v>53</v>
      </c>
      <c r="J257" s="2" t="s">
        <v>111</v>
      </c>
      <c r="K257" s="2"/>
      <c r="L257" s="2" t="s">
        <v>32</v>
      </c>
    </row>
    <row r="258" customFormat="false" ht="12.75" hidden="false" customHeight="false" outlineLevel="0" collapsed="false">
      <c r="A258" s="2" t="s">
        <v>337</v>
      </c>
      <c r="B258" s="3" t="n">
        <v>46159</v>
      </c>
      <c r="C258" s="2" t="s">
        <v>22</v>
      </c>
      <c r="D258" s="2" t="s">
        <v>36</v>
      </c>
      <c r="E258" s="2" t="s">
        <v>66</v>
      </c>
      <c r="F258" s="2" t="s">
        <v>48</v>
      </c>
      <c r="G258" s="2" t="s">
        <v>17</v>
      </c>
      <c r="H258" s="2" t="s">
        <v>18</v>
      </c>
      <c r="I258" s="2"/>
      <c r="J258" s="2" t="s">
        <v>129</v>
      </c>
      <c r="K258" s="2"/>
      <c r="L258" s="2" t="s">
        <v>136</v>
      </c>
    </row>
    <row r="259" customFormat="false" ht="12.75" hidden="false" customHeight="false" outlineLevel="0" collapsed="false">
      <c r="A259" s="2" t="s">
        <v>372</v>
      </c>
      <c r="B259" s="3" t="n">
        <v>46081</v>
      </c>
      <c r="C259" s="2" t="s">
        <v>28</v>
      </c>
      <c r="D259" s="2" t="s">
        <v>36</v>
      </c>
      <c r="E259" s="2" t="s">
        <v>52</v>
      </c>
      <c r="F259" s="2" t="s">
        <v>24</v>
      </c>
      <c r="G259" s="2" t="s">
        <v>17</v>
      </c>
      <c r="H259" s="2" t="s">
        <v>18</v>
      </c>
      <c r="I259" s="2" t="s">
        <v>25</v>
      </c>
      <c r="J259" s="2" t="s">
        <v>106</v>
      </c>
      <c r="K259" s="2"/>
      <c r="L259" s="2" t="s">
        <v>88</v>
      </c>
    </row>
    <row r="260" customFormat="false" ht="12.75" hidden="false" customHeight="false" outlineLevel="0" collapsed="false">
      <c r="A260" s="2" t="s">
        <v>373</v>
      </c>
      <c r="B260" s="3" t="n">
        <v>46065</v>
      </c>
      <c r="C260" s="2" t="s">
        <v>28</v>
      </c>
      <c r="D260" s="2" t="s">
        <v>56</v>
      </c>
      <c r="E260" s="2" t="s">
        <v>52</v>
      </c>
      <c r="F260" s="2" t="s">
        <v>24</v>
      </c>
      <c r="G260" s="2" t="s">
        <v>17</v>
      </c>
      <c r="H260" s="2" t="s">
        <v>49</v>
      </c>
      <c r="I260" s="2" t="s">
        <v>40</v>
      </c>
      <c r="J260" s="2" t="s">
        <v>129</v>
      </c>
      <c r="K260" s="2"/>
      <c r="L260" s="2" t="s">
        <v>88</v>
      </c>
    </row>
    <row r="261" customFormat="false" ht="12.75" hidden="false" customHeight="false" outlineLevel="0" collapsed="false">
      <c r="A261" s="2" t="s">
        <v>374</v>
      </c>
      <c r="B261" s="3" t="n">
        <v>46079</v>
      </c>
      <c r="C261" s="2" t="s">
        <v>113</v>
      </c>
      <c r="D261" s="2" t="s">
        <v>51</v>
      </c>
      <c r="E261" s="2" t="s">
        <v>52</v>
      </c>
      <c r="F261" s="2" t="s">
        <v>16</v>
      </c>
      <c r="G261" s="2" t="s">
        <v>17</v>
      </c>
      <c r="H261" s="2" t="s">
        <v>125</v>
      </c>
      <c r="I261" s="2" t="s">
        <v>81</v>
      </c>
      <c r="J261" s="2" t="s">
        <v>20</v>
      </c>
      <c r="K261" s="3" t="n">
        <v>46085</v>
      </c>
      <c r="L261" s="2" t="s">
        <v>95</v>
      </c>
    </row>
    <row r="262" customFormat="false" ht="12.75" hidden="false" customHeight="false" outlineLevel="0" collapsed="false">
      <c r="A262" s="2" t="s">
        <v>375</v>
      </c>
      <c r="B262" s="3" t="n">
        <v>46110</v>
      </c>
      <c r="C262" s="2" t="s">
        <v>192</v>
      </c>
      <c r="D262" s="2" t="s">
        <v>100</v>
      </c>
      <c r="E262" s="2" t="s">
        <v>29</v>
      </c>
      <c r="F262" s="2" t="s">
        <v>38</v>
      </c>
      <c r="G262" s="2" t="s">
        <v>39</v>
      </c>
      <c r="H262" s="2" t="s">
        <v>18</v>
      </c>
      <c r="I262" s="2" t="s">
        <v>40</v>
      </c>
      <c r="J262" s="2" t="s">
        <v>83</v>
      </c>
      <c r="K262" s="2"/>
      <c r="L262" s="2" t="s">
        <v>41</v>
      </c>
    </row>
    <row r="263" customFormat="false" ht="12.75" hidden="false" customHeight="false" outlineLevel="0" collapsed="false">
      <c r="A263" s="2" t="s">
        <v>376</v>
      </c>
      <c r="B263" s="3" t="n">
        <v>46166</v>
      </c>
      <c r="C263" s="2" t="s">
        <v>13</v>
      </c>
      <c r="D263" s="2" t="s">
        <v>70</v>
      </c>
      <c r="E263" s="2" t="s">
        <v>66</v>
      </c>
      <c r="F263" s="2" t="s">
        <v>24</v>
      </c>
      <c r="G263" s="2" t="s">
        <v>17</v>
      </c>
      <c r="H263" s="2" t="s">
        <v>49</v>
      </c>
      <c r="I263" s="2" t="s">
        <v>53</v>
      </c>
      <c r="J263" s="2" t="s">
        <v>20</v>
      </c>
      <c r="K263" s="3" t="n">
        <v>46173</v>
      </c>
      <c r="L263" s="2" t="s">
        <v>67</v>
      </c>
    </row>
    <row r="264" customFormat="false" ht="12.75" hidden="false" customHeight="false" outlineLevel="0" collapsed="false">
      <c r="A264" s="2" t="s">
        <v>377</v>
      </c>
      <c r="B264" s="3" t="n">
        <v>46085</v>
      </c>
      <c r="C264" s="2" t="s">
        <v>35</v>
      </c>
      <c r="D264" s="2" t="s">
        <v>47</v>
      </c>
      <c r="E264" s="2" t="s">
        <v>37</v>
      </c>
      <c r="F264" s="2" t="s">
        <v>16</v>
      </c>
      <c r="G264" s="2" t="s">
        <v>17</v>
      </c>
      <c r="H264" s="2" t="s">
        <v>18</v>
      </c>
      <c r="I264" s="2" t="s">
        <v>40</v>
      </c>
      <c r="J264" s="2" t="s">
        <v>20</v>
      </c>
      <c r="K264" s="3" t="n">
        <v>46094</v>
      </c>
      <c r="L264" s="2" t="s">
        <v>72</v>
      </c>
    </row>
    <row r="265" customFormat="false" ht="12.75" hidden="false" customHeight="false" outlineLevel="0" collapsed="false">
      <c r="A265" s="2" t="s">
        <v>378</v>
      </c>
      <c r="B265" s="3" t="n">
        <v>46054</v>
      </c>
      <c r="C265" s="2" t="s">
        <v>113</v>
      </c>
      <c r="D265" s="2" t="s">
        <v>70</v>
      </c>
      <c r="E265" s="2"/>
      <c r="F265" s="2" t="s">
        <v>38</v>
      </c>
      <c r="G265" s="2" t="s">
        <v>39</v>
      </c>
      <c r="H265" s="2" t="s">
        <v>18</v>
      </c>
      <c r="I265" s="2" t="s">
        <v>25</v>
      </c>
      <c r="J265" s="2" t="s">
        <v>20</v>
      </c>
      <c r="K265" s="3" t="n">
        <v>46071</v>
      </c>
      <c r="L265" s="2" t="s">
        <v>41</v>
      </c>
    </row>
    <row r="266" customFormat="false" ht="12.75" hidden="false" customHeight="false" outlineLevel="0" collapsed="false">
      <c r="A266" s="2" t="s">
        <v>379</v>
      </c>
      <c r="B266" s="3" t="n">
        <v>46111</v>
      </c>
      <c r="C266" s="2" t="s">
        <v>22</v>
      </c>
      <c r="D266" s="2" t="s">
        <v>14</v>
      </c>
      <c r="E266" s="2" t="s">
        <v>66</v>
      </c>
      <c r="F266" s="2" t="s">
        <v>24</v>
      </c>
      <c r="G266" s="2" t="s">
        <v>17</v>
      </c>
      <c r="H266" s="2" t="s">
        <v>18</v>
      </c>
      <c r="I266" s="2" t="s">
        <v>25</v>
      </c>
      <c r="J266" s="2" t="s">
        <v>58</v>
      </c>
      <c r="K266" s="2"/>
      <c r="L266" s="2" t="s">
        <v>136</v>
      </c>
    </row>
    <row r="267" customFormat="false" ht="12.75" hidden="false" customHeight="false" outlineLevel="0" collapsed="false">
      <c r="A267" s="2" t="s">
        <v>380</v>
      </c>
      <c r="B267" s="3" t="n">
        <v>46027</v>
      </c>
      <c r="C267" s="2" t="s">
        <v>28</v>
      </c>
      <c r="D267" s="2" t="s">
        <v>51</v>
      </c>
      <c r="E267" s="2" t="s">
        <v>15</v>
      </c>
      <c r="F267" s="2" t="s">
        <v>24</v>
      </c>
      <c r="G267" s="2"/>
      <c r="H267" s="2" t="s">
        <v>18</v>
      </c>
      <c r="I267" s="2" t="s">
        <v>25</v>
      </c>
      <c r="J267" s="2" t="s">
        <v>58</v>
      </c>
      <c r="K267" s="2"/>
      <c r="L267" s="2" t="s">
        <v>63</v>
      </c>
    </row>
    <row r="268" customFormat="false" ht="12.75" hidden="false" customHeight="false" outlineLevel="0" collapsed="false">
      <c r="A268" s="2" t="s">
        <v>381</v>
      </c>
      <c r="B268" s="3" t="n">
        <v>46089</v>
      </c>
      <c r="C268" s="2" t="s">
        <v>35</v>
      </c>
      <c r="D268" s="2" t="s">
        <v>51</v>
      </c>
      <c r="E268" s="2" t="s">
        <v>66</v>
      </c>
      <c r="F268" s="2" t="s">
        <v>16</v>
      </c>
      <c r="G268" s="2" t="s">
        <v>17</v>
      </c>
      <c r="H268" s="2" t="s">
        <v>49</v>
      </c>
      <c r="I268" s="2" t="s">
        <v>53</v>
      </c>
      <c r="J268" s="2" t="s">
        <v>20</v>
      </c>
      <c r="K268" s="3" t="n">
        <v>46109</v>
      </c>
      <c r="L268" s="2" t="s">
        <v>67</v>
      </c>
    </row>
    <row r="269" customFormat="false" ht="12.75" hidden="false" customHeight="false" outlineLevel="0" collapsed="false">
      <c r="A269" s="2" t="s">
        <v>382</v>
      </c>
      <c r="B269" s="3" t="n">
        <v>46089</v>
      </c>
      <c r="C269" s="2" t="s">
        <v>69</v>
      </c>
      <c r="D269" s="2" t="s">
        <v>70</v>
      </c>
      <c r="E269" s="2" t="s">
        <v>37</v>
      </c>
      <c r="F269" s="2" t="s">
        <v>38</v>
      </c>
      <c r="G269" s="2" t="s">
        <v>39</v>
      </c>
      <c r="H269" s="2" t="s">
        <v>80</v>
      </c>
      <c r="I269" s="2" t="s">
        <v>19</v>
      </c>
      <c r="J269" s="2" t="s">
        <v>108</v>
      </c>
      <c r="K269" s="2"/>
      <c r="L269" s="2" t="s">
        <v>41</v>
      </c>
    </row>
    <row r="270" customFormat="false" ht="12.75" hidden="false" customHeight="false" outlineLevel="0" collapsed="false">
      <c r="A270" s="2" t="s">
        <v>383</v>
      </c>
      <c r="B270" s="3" t="n">
        <v>46115</v>
      </c>
      <c r="C270" s="2" t="s">
        <v>13</v>
      </c>
      <c r="D270" s="2" t="s">
        <v>23</v>
      </c>
      <c r="E270" s="2" t="s">
        <v>29</v>
      </c>
      <c r="F270" s="2" t="s">
        <v>48</v>
      </c>
      <c r="G270" s="2" t="s">
        <v>17</v>
      </c>
      <c r="H270" s="2" t="s">
        <v>57</v>
      </c>
      <c r="I270" s="2" t="s">
        <v>40</v>
      </c>
      <c r="J270" s="2" t="s">
        <v>20</v>
      </c>
      <c r="K270" s="3" t="n">
        <v>46129</v>
      </c>
      <c r="L270" s="2" t="s">
        <v>104</v>
      </c>
    </row>
    <row r="271" customFormat="false" ht="12.75" hidden="false" customHeight="false" outlineLevel="0" collapsed="false">
      <c r="A271" s="2" t="s">
        <v>384</v>
      </c>
      <c r="B271" s="3" t="n">
        <v>46201</v>
      </c>
      <c r="C271" s="2" t="s">
        <v>164</v>
      </c>
      <c r="D271" s="2" t="s">
        <v>47</v>
      </c>
      <c r="E271" s="2" t="s">
        <v>29</v>
      </c>
      <c r="F271" s="2" t="s">
        <v>48</v>
      </c>
      <c r="G271" s="2" t="s">
        <v>17</v>
      </c>
      <c r="H271" s="2" t="s">
        <v>57</v>
      </c>
      <c r="I271" s="2" t="s">
        <v>81</v>
      </c>
      <c r="J271" s="2" t="s">
        <v>83</v>
      </c>
      <c r="K271" s="2"/>
      <c r="L271" s="2" t="s">
        <v>104</v>
      </c>
    </row>
    <row r="272" customFormat="false" ht="12.75" hidden="false" customHeight="false" outlineLevel="0" collapsed="false">
      <c r="A272" s="2" t="s">
        <v>385</v>
      </c>
      <c r="B272" s="3" t="n">
        <v>46210</v>
      </c>
      <c r="C272" s="2" t="s">
        <v>164</v>
      </c>
      <c r="D272" s="2" t="s">
        <v>14</v>
      </c>
      <c r="E272" s="2" t="s">
        <v>15</v>
      </c>
      <c r="F272" s="2" t="s">
        <v>38</v>
      </c>
      <c r="G272" s="2" t="s">
        <v>39</v>
      </c>
      <c r="H272" s="2" t="s">
        <v>18</v>
      </c>
      <c r="I272" s="2" t="s">
        <v>25</v>
      </c>
      <c r="J272" s="2" t="s">
        <v>31</v>
      </c>
      <c r="K272" s="3" t="n">
        <v>46237</v>
      </c>
      <c r="L272" s="2" t="s">
        <v>41</v>
      </c>
    </row>
    <row r="273" customFormat="false" ht="12.75" hidden="false" customHeight="false" outlineLevel="0" collapsed="false">
      <c r="A273" s="2" t="s">
        <v>386</v>
      </c>
      <c r="B273" s="3" t="n">
        <v>46027</v>
      </c>
      <c r="C273" s="2" t="s">
        <v>35</v>
      </c>
      <c r="D273" s="2" t="s">
        <v>51</v>
      </c>
      <c r="E273" s="2" t="s">
        <v>52</v>
      </c>
      <c r="F273" s="2" t="s">
        <v>48</v>
      </c>
      <c r="G273" s="2" t="s">
        <v>17</v>
      </c>
      <c r="H273" s="2" t="s">
        <v>18</v>
      </c>
      <c r="I273" s="2" t="s">
        <v>40</v>
      </c>
      <c r="J273" s="2" t="s">
        <v>182</v>
      </c>
      <c r="K273" s="2"/>
      <c r="L273" s="2" t="s">
        <v>97</v>
      </c>
    </row>
    <row r="274" customFormat="false" ht="12.75" hidden="false" customHeight="false" outlineLevel="0" collapsed="false">
      <c r="A274" s="2" t="s">
        <v>387</v>
      </c>
      <c r="B274" s="3" t="n">
        <v>46185</v>
      </c>
      <c r="C274" s="2" t="s">
        <v>61</v>
      </c>
      <c r="D274" s="2" t="s">
        <v>116</v>
      </c>
      <c r="E274" s="2" t="s">
        <v>29</v>
      </c>
      <c r="F274" s="2" t="s">
        <v>16</v>
      </c>
      <c r="G274" s="2" t="s">
        <v>17</v>
      </c>
      <c r="H274" s="2" t="s">
        <v>80</v>
      </c>
      <c r="I274" s="2" t="s">
        <v>40</v>
      </c>
      <c r="J274" s="2" t="s">
        <v>20</v>
      </c>
      <c r="K274" s="3" t="n">
        <v>46212</v>
      </c>
      <c r="L274" s="2" t="s">
        <v>45</v>
      </c>
    </row>
    <row r="275" customFormat="false" ht="12.75" hidden="false" customHeight="false" outlineLevel="0" collapsed="false">
      <c r="A275" s="2" t="s">
        <v>388</v>
      </c>
      <c r="B275" s="3" t="n">
        <v>46084</v>
      </c>
      <c r="C275" s="2" t="s">
        <v>13</v>
      </c>
      <c r="D275" s="2" t="s">
        <v>215</v>
      </c>
      <c r="E275" s="2" t="s">
        <v>52</v>
      </c>
      <c r="F275" s="2" t="s">
        <v>16</v>
      </c>
      <c r="G275" s="2" t="s">
        <v>17</v>
      </c>
      <c r="H275" s="2" t="s">
        <v>18</v>
      </c>
      <c r="I275" s="2" t="s">
        <v>53</v>
      </c>
      <c r="J275" s="2" t="s">
        <v>83</v>
      </c>
      <c r="K275" s="2"/>
      <c r="L275" s="2" t="s">
        <v>88</v>
      </c>
    </row>
    <row r="276" customFormat="false" ht="12.75" hidden="false" customHeight="false" outlineLevel="0" collapsed="false">
      <c r="A276" s="2" t="s">
        <v>389</v>
      </c>
      <c r="B276" s="3" t="n">
        <v>46215</v>
      </c>
      <c r="C276" s="2" t="s">
        <v>192</v>
      </c>
      <c r="D276" s="2" t="s">
        <v>100</v>
      </c>
      <c r="E276" s="2" t="s">
        <v>52</v>
      </c>
      <c r="F276" s="2" t="s">
        <v>24</v>
      </c>
      <c r="G276" s="2" t="s">
        <v>17</v>
      </c>
      <c r="H276" s="2" t="s">
        <v>18</v>
      </c>
      <c r="I276" s="2"/>
      <c r="J276" s="2" t="s">
        <v>134</v>
      </c>
      <c r="K276" s="3" t="n">
        <v>46241</v>
      </c>
      <c r="L276" s="2" t="s">
        <v>95</v>
      </c>
    </row>
    <row r="277" customFormat="false" ht="12.75" hidden="false" customHeight="false" outlineLevel="0" collapsed="false">
      <c r="A277" s="2" t="s">
        <v>390</v>
      </c>
      <c r="B277" s="3" t="n">
        <v>46162</v>
      </c>
      <c r="C277" s="2" t="s">
        <v>13</v>
      </c>
      <c r="D277" s="2" t="s">
        <v>51</v>
      </c>
      <c r="E277" s="2" t="s">
        <v>37</v>
      </c>
      <c r="F277" s="2" t="s">
        <v>16</v>
      </c>
      <c r="G277" s="2" t="s">
        <v>17</v>
      </c>
      <c r="H277" s="2" t="s">
        <v>49</v>
      </c>
      <c r="I277" s="2" t="s">
        <v>53</v>
      </c>
      <c r="J277" s="2" t="s">
        <v>106</v>
      </c>
      <c r="K277" s="2"/>
      <c r="L277" s="2" t="s">
        <v>144</v>
      </c>
    </row>
    <row r="278" customFormat="false" ht="12.75" hidden="false" customHeight="false" outlineLevel="0" collapsed="false">
      <c r="A278" s="2" t="s">
        <v>391</v>
      </c>
      <c r="B278" s="3" t="n">
        <v>46161</v>
      </c>
      <c r="C278" s="2" t="s">
        <v>61</v>
      </c>
      <c r="D278" s="2" t="s">
        <v>70</v>
      </c>
      <c r="E278" s="2" t="s">
        <v>29</v>
      </c>
      <c r="F278" s="2" t="s">
        <v>38</v>
      </c>
      <c r="G278" s="2" t="s">
        <v>39</v>
      </c>
      <c r="H278" s="2" t="s">
        <v>18</v>
      </c>
      <c r="I278" s="2" t="s">
        <v>40</v>
      </c>
      <c r="J278" s="2" t="s">
        <v>129</v>
      </c>
      <c r="K278" s="2"/>
      <c r="L278" s="2" t="s">
        <v>41</v>
      </c>
    </row>
    <row r="279" customFormat="false" ht="12.75" hidden="false" customHeight="false" outlineLevel="0" collapsed="false">
      <c r="A279" s="2" t="s">
        <v>392</v>
      </c>
      <c r="B279" s="3" t="n">
        <v>46029</v>
      </c>
      <c r="C279" s="2" t="s">
        <v>28</v>
      </c>
      <c r="D279" s="2" t="s">
        <v>23</v>
      </c>
      <c r="E279" s="2" t="s">
        <v>15</v>
      </c>
      <c r="F279" s="2" t="s">
        <v>24</v>
      </c>
      <c r="G279" s="2" t="s">
        <v>17</v>
      </c>
      <c r="H279" s="2" t="s">
        <v>150</v>
      </c>
      <c r="I279" s="2" t="s">
        <v>53</v>
      </c>
      <c r="J279" s="2" t="s">
        <v>83</v>
      </c>
      <c r="K279" s="3" t="n">
        <v>46032</v>
      </c>
      <c r="L279" s="2" t="s">
        <v>78</v>
      </c>
    </row>
    <row r="280" customFormat="false" ht="12.75" hidden="false" customHeight="false" outlineLevel="0" collapsed="false">
      <c r="A280" s="2" t="s">
        <v>393</v>
      </c>
      <c r="B280" s="3" t="n">
        <v>46154</v>
      </c>
      <c r="C280" s="2" t="s">
        <v>35</v>
      </c>
      <c r="D280" s="2" t="s">
        <v>44</v>
      </c>
      <c r="E280" s="2" t="s">
        <v>15</v>
      </c>
      <c r="F280" s="2" t="s">
        <v>16</v>
      </c>
      <c r="G280" s="2" t="s">
        <v>17</v>
      </c>
      <c r="H280" s="2" t="s">
        <v>18</v>
      </c>
      <c r="I280" s="2" t="s">
        <v>53</v>
      </c>
      <c r="J280" s="2" t="s">
        <v>31</v>
      </c>
      <c r="K280" s="3" t="n">
        <v>46180</v>
      </c>
      <c r="L280" s="2" t="s">
        <v>114</v>
      </c>
    </row>
    <row r="281" customFormat="false" ht="12.75" hidden="false" customHeight="false" outlineLevel="0" collapsed="false">
      <c r="A281" s="2" t="s">
        <v>394</v>
      </c>
      <c r="B281" s="3" t="n">
        <v>46063</v>
      </c>
      <c r="C281" s="2" t="s">
        <v>28</v>
      </c>
      <c r="D281" s="2" t="s">
        <v>14</v>
      </c>
      <c r="E281" s="2" t="s">
        <v>15</v>
      </c>
      <c r="F281" s="2" t="s">
        <v>38</v>
      </c>
      <c r="G281" s="2" t="s">
        <v>39</v>
      </c>
      <c r="H281" s="2" t="s">
        <v>18</v>
      </c>
      <c r="I281" s="2" t="s">
        <v>53</v>
      </c>
      <c r="J281" s="2" t="s">
        <v>111</v>
      </c>
      <c r="K281" s="2"/>
      <c r="L281" s="2" t="s">
        <v>41</v>
      </c>
    </row>
    <row r="282" customFormat="false" ht="12.75" hidden="false" customHeight="false" outlineLevel="0" collapsed="false">
      <c r="A282" s="2" t="s">
        <v>395</v>
      </c>
      <c r="B282" s="3" t="n">
        <v>46217</v>
      </c>
      <c r="C282" s="2" t="s">
        <v>28</v>
      </c>
      <c r="D282" s="2" t="s">
        <v>116</v>
      </c>
      <c r="E282" s="2"/>
      <c r="F282" s="2" t="s">
        <v>48</v>
      </c>
      <c r="G282" s="2" t="s">
        <v>17</v>
      </c>
      <c r="H282" s="2" t="s">
        <v>18</v>
      </c>
      <c r="I282" s="2" t="s">
        <v>53</v>
      </c>
      <c r="J282" s="2" t="s">
        <v>20</v>
      </c>
      <c r="K282" s="3" t="n">
        <v>46236</v>
      </c>
      <c r="L282" s="2" t="s">
        <v>114</v>
      </c>
    </row>
    <row r="283" customFormat="false" ht="12.75" hidden="false" customHeight="false" outlineLevel="0" collapsed="false">
      <c r="A283" s="2" t="s">
        <v>396</v>
      </c>
      <c r="B283" s="3" t="n">
        <v>46127</v>
      </c>
      <c r="C283" s="2" t="s">
        <v>138</v>
      </c>
      <c r="D283" s="2" t="s">
        <v>100</v>
      </c>
      <c r="E283" s="2" t="s">
        <v>52</v>
      </c>
      <c r="F283" s="2" t="s">
        <v>16</v>
      </c>
      <c r="G283" s="2" t="s">
        <v>17</v>
      </c>
      <c r="H283" s="2" t="s">
        <v>110</v>
      </c>
      <c r="I283" s="2" t="s">
        <v>40</v>
      </c>
      <c r="J283" s="2" t="s">
        <v>20</v>
      </c>
      <c r="K283" s="3" t="n">
        <v>46152</v>
      </c>
      <c r="L283" s="2" t="s">
        <v>88</v>
      </c>
    </row>
    <row r="284" customFormat="false" ht="12.75" hidden="false" customHeight="false" outlineLevel="0" collapsed="false">
      <c r="A284" s="2" t="s">
        <v>397</v>
      </c>
      <c r="B284" s="3" t="n">
        <v>46186</v>
      </c>
      <c r="C284" s="2" t="s">
        <v>69</v>
      </c>
      <c r="D284" s="2" t="s">
        <v>100</v>
      </c>
      <c r="E284" s="2" t="s">
        <v>15</v>
      </c>
      <c r="F284" s="2" t="s">
        <v>38</v>
      </c>
      <c r="G284" s="2" t="s">
        <v>39</v>
      </c>
      <c r="H284" s="2" t="s">
        <v>49</v>
      </c>
      <c r="I284" s="2" t="s">
        <v>25</v>
      </c>
      <c r="J284" s="2" t="s">
        <v>58</v>
      </c>
      <c r="K284" s="2"/>
      <c r="L284" s="2" t="s">
        <v>41</v>
      </c>
    </row>
    <row r="285" customFormat="false" ht="12.75" hidden="false" customHeight="false" outlineLevel="0" collapsed="false">
      <c r="A285" s="2" t="s">
        <v>398</v>
      </c>
      <c r="B285" s="3" t="n">
        <v>46107</v>
      </c>
      <c r="C285" s="2" t="s">
        <v>22</v>
      </c>
      <c r="D285" s="2" t="s">
        <v>169</v>
      </c>
      <c r="E285" s="2" t="s">
        <v>66</v>
      </c>
      <c r="F285" s="2" t="s">
        <v>24</v>
      </c>
      <c r="G285" s="2" t="s">
        <v>17</v>
      </c>
      <c r="H285" s="2" t="s">
        <v>49</v>
      </c>
      <c r="I285" s="2" t="s">
        <v>53</v>
      </c>
      <c r="J285" s="2" t="s">
        <v>31</v>
      </c>
      <c r="K285" s="3" t="n">
        <v>46125</v>
      </c>
      <c r="L285" s="2" t="s">
        <v>67</v>
      </c>
    </row>
    <row r="286" customFormat="false" ht="12.75" hidden="false" customHeight="false" outlineLevel="0" collapsed="false">
      <c r="A286" s="2" t="s">
        <v>399</v>
      </c>
      <c r="B286" s="2" t="s">
        <v>400</v>
      </c>
      <c r="C286" s="2" t="s">
        <v>22</v>
      </c>
      <c r="D286" s="2" t="s">
        <v>23</v>
      </c>
      <c r="E286" s="2" t="s">
        <v>37</v>
      </c>
      <c r="F286" s="2" t="s">
        <v>16</v>
      </c>
      <c r="G286" s="2" t="s">
        <v>17</v>
      </c>
      <c r="H286" s="2" t="s">
        <v>49</v>
      </c>
      <c r="I286" s="2" t="s">
        <v>53</v>
      </c>
      <c r="J286" s="2" t="s">
        <v>83</v>
      </c>
      <c r="K286" s="2"/>
      <c r="L286" s="2" t="s">
        <v>144</v>
      </c>
    </row>
    <row r="287" customFormat="false" ht="12.75" hidden="false" customHeight="false" outlineLevel="0" collapsed="false">
      <c r="A287" s="2" t="s">
        <v>401</v>
      </c>
      <c r="B287" s="3" t="n">
        <v>46033</v>
      </c>
      <c r="C287" s="2" t="s">
        <v>202</v>
      </c>
      <c r="D287" s="2" t="s">
        <v>23</v>
      </c>
      <c r="E287" s="2" t="s">
        <v>66</v>
      </c>
      <c r="F287" s="2" t="s">
        <v>24</v>
      </c>
      <c r="G287" s="2" t="s">
        <v>17</v>
      </c>
      <c r="H287" s="2" t="s">
        <v>18</v>
      </c>
      <c r="I287" s="2" t="s">
        <v>53</v>
      </c>
      <c r="J287" s="2" t="s">
        <v>20</v>
      </c>
      <c r="K287" s="3" t="n">
        <v>46036</v>
      </c>
      <c r="L287" s="2" t="s">
        <v>86</v>
      </c>
    </row>
    <row r="288" customFormat="false" ht="12.75" hidden="false" customHeight="false" outlineLevel="0" collapsed="false">
      <c r="A288" s="2" t="s">
        <v>402</v>
      </c>
      <c r="B288" s="3" t="n">
        <v>46076</v>
      </c>
      <c r="C288" s="2" t="s">
        <v>22</v>
      </c>
      <c r="D288" s="2" t="s">
        <v>56</v>
      </c>
      <c r="E288" s="2" t="s">
        <v>37</v>
      </c>
      <c r="F288" s="2" t="s">
        <v>24</v>
      </c>
      <c r="G288" s="2" t="s">
        <v>17</v>
      </c>
      <c r="H288" s="2" t="s">
        <v>49</v>
      </c>
      <c r="I288" s="2" t="s">
        <v>53</v>
      </c>
      <c r="J288" s="2" t="s">
        <v>20</v>
      </c>
      <c r="K288" s="3" t="n">
        <v>46104</v>
      </c>
      <c r="L288" s="2" t="s">
        <v>59</v>
      </c>
    </row>
    <row r="289" customFormat="false" ht="12.75" hidden="false" customHeight="false" outlineLevel="0" collapsed="false">
      <c r="A289" s="2" t="s">
        <v>403</v>
      </c>
      <c r="B289" s="3" t="n">
        <v>46055</v>
      </c>
      <c r="C289" s="2" t="s">
        <v>35</v>
      </c>
      <c r="D289" s="2" t="s">
        <v>51</v>
      </c>
      <c r="E289" s="2" t="s">
        <v>15</v>
      </c>
      <c r="F289" s="2" t="s">
        <v>30</v>
      </c>
      <c r="G289" s="2" t="s">
        <v>17</v>
      </c>
      <c r="H289" s="2" t="s">
        <v>18</v>
      </c>
      <c r="I289" s="2" t="s">
        <v>25</v>
      </c>
      <c r="J289" s="2" t="s">
        <v>20</v>
      </c>
      <c r="K289" s="3" t="n">
        <v>46081</v>
      </c>
      <c r="L289" s="2" t="s">
        <v>114</v>
      </c>
    </row>
    <row r="290" customFormat="false" ht="12.75" hidden="false" customHeight="false" outlineLevel="0" collapsed="false">
      <c r="A290" s="2" t="s">
        <v>404</v>
      </c>
      <c r="B290" s="3" t="n">
        <v>46068</v>
      </c>
      <c r="C290" s="2" t="s">
        <v>35</v>
      </c>
      <c r="D290" s="2" t="s">
        <v>51</v>
      </c>
      <c r="E290" s="2" t="s">
        <v>15</v>
      </c>
      <c r="F290" s="2" t="s">
        <v>24</v>
      </c>
      <c r="G290" s="2" t="s">
        <v>17</v>
      </c>
      <c r="H290" s="2" t="s">
        <v>179</v>
      </c>
      <c r="I290" s="2" t="s">
        <v>25</v>
      </c>
      <c r="J290" s="2" t="s">
        <v>83</v>
      </c>
      <c r="K290" s="2"/>
      <c r="L290" s="2" t="s">
        <v>78</v>
      </c>
    </row>
    <row r="291" customFormat="false" ht="12.75" hidden="false" customHeight="false" outlineLevel="0" collapsed="false">
      <c r="A291" s="2" t="s">
        <v>405</v>
      </c>
      <c r="B291" s="3" t="n">
        <v>46140</v>
      </c>
      <c r="C291" s="2" t="s">
        <v>28</v>
      </c>
      <c r="D291" s="2" t="s">
        <v>62</v>
      </c>
      <c r="E291" s="2" t="s">
        <v>66</v>
      </c>
      <c r="F291" s="2" t="s">
        <v>16</v>
      </c>
      <c r="G291" s="2"/>
      <c r="H291" s="2" t="s">
        <v>80</v>
      </c>
      <c r="I291" s="2" t="s">
        <v>53</v>
      </c>
      <c r="J291" s="2" t="s">
        <v>111</v>
      </c>
      <c r="K291" s="2"/>
      <c r="L291" s="2" t="s">
        <v>86</v>
      </c>
    </row>
    <row r="292" customFormat="false" ht="12.75" hidden="false" customHeight="false" outlineLevel="0" collapsed="false">
      <c r="A292" s="2" t="s">
        <v>406</v>
      </c>
      <c r="B292" s="3" t="n">
        <v>46055</v>
      </c>
      <c r="C292" s="2" t="s">
        <v>13</v>
      </c>
      <c r="D292" s="2" t="s">
        <v>65</v>
      </c>
      <c r="E292" s="2" t="s">
        <v>29</v>
      </c>
      <c r="F292" s="2" t="s">
        <v>38</v>
      </c>
      <c r="G292" s="2" t="s">
        <v>39</v>
      </c>
      <c r="H292" s="2" t="s">
        <v>49</v>
      </c>
      <c r="I292" s="2" t="s">
        <v>53</v>
      </c>
      <c r="J292" s="2" t="s">
        <v>134</v>
      </c>
      <c r="K292" s="3" t="n">
        <v>46083</v>
      </c>
      <c r="L292" s="2" t="s">
        <v>41</v>
      </c>
    </row>
    <row r="293" customFormat="false" ht="12.75" hidden="false" customHeight="false" outlineLevel="0" collapsed="false">
      <c r="A293" s="2" t="s">
        <v>407</v>
      </c>
      <c r="B293" s="3" t="n">
        <v>46211</v>
      </c>
      <c r="C293" s="2" t="s">
        <v>138</v>
      </c>
      <c r="D293" s="2" t="s">
        <v>157</v>
      </c>
      <c r="E293" s="2" t="s">
        <v>52</v>
      </c>
      <c r="F293" s="2" t="s">
        <v>24</v>
      </c>
      <c r="G293" s="2" t="s">
        <v>17</v>
      </c>
      <c r="H293" s="2" t="s">
        <v>49</v>
      </c>
      <c r="I293" s="2" t="s">
        <v>40</v>
      </c>
      <c r="J293" s="2" t="s">
        <v>58</v>
      </c>
      <c r="K293" s="2"/>
      <c r="L293" s="2" t="s">
        <v>97</v>
      </c>
    </row>
    <row r="294" customFormat="false" ht="12.75" hidden="false" customHeight="false" outlineLevel="0" collapsed="false">
      <c r="A294" s="2" t="s">
        <v>408</v>
      </c>
      <c r="B294" s="3" t="n">
        <v>46178</v>
      </c>
      <c r="C294" s="2" t="s">
        <v>61</v>
      </c>
      <c r="D294" s="2" t="s">
        <v>116</v>
      </c>
      <c r="E294" s="2" t="s">
        <v>52</v>
      </c>
      <c r="F294" s="2" t="s">
        <v>38</v>
      </c>
      <c r="G294" s="2" t="s">
        <v>39</v>
      </c>
      <c r="H294" s="2" t="s">
        <v>49</v>
      </c>
      <c r="I294" s="2" t="s">
        <v>40</v>
      </c>
      <c r="J294" s="2" t="s">
        <v>83</v>
      </c>
      <c r="K294" s="2"/>
      <c r="L294" s="2" t="s">
        <v>41</v>
      </c>
    </row>
    <row r="295" customFormat="false" ht="12.75" hidden="false" customHeight="false" outlineLevel="0" collapsed="false">
      <c r="A295" s="2" t="s">
        <v>409</v>
      </c>
      <c r="B295" s="3" t="n">
        <v>46147</v>
      </c>
      <c r="C295" s="2" t="s">
        <v>28</v>
      </c>
      <c r="D295" s="2" t="s">
        <v>169</v>
      </c>
      <c r="E295" s="2" t="s">
        <v>15</v>
      </c>
      <c r="F295" s="2" t="s">
        <v>16</v>
      </c>
      <c r="G295" s="2" t="s">
        <v>17</v>
      </c>
      <c r="H295" s="2" t="s">
        <v>49</v>
      </c>
      <c r="I295" s="2" t="s">
        <v>81</v>
      </c>
      <c r="J295" s="2" t="s">
        <v>83</v>
      </c>
      <c r="K295" s="2"/>
      <c r="L295" s="2" t="s">
        <v>114</v>
      </c>
    </row>
    <row r="296" customFormat="false" ht="12.75" hidden="false" customHeight="false" outlineLevel="0" collapsed="false">
      <c r="A296" s="2" t="s">
        <v>410</v>
      </c>
      <c r="B296" s="3" t="n">
        <v>46168</v>
      </c>
      <c r="C296" s="2" t="s">
        <v>13</v>
      </c>
      <c r="D296" s="2" t="s">
        <v>14</v>
      </c>
      <c r="E296" s="2" t="s">
        <v>29</v>
      </c>
      <c r="F296" s="2" t="s">
        <v>30</v>
      </c>
      <c r="G296" s="2" t="s">
        <v>17</v>
      </c>
      <c r="H296" s="2" t="s">
        <v>57</v>
      </c>
      <c r="I296" s="2" t="s">
        <v>40</v>
      </c>
      <c r="J296" s="2" t="s">
        <v>20</v>
      </c>
      <c r="K296" s="3" t="n">
        <v>46185</v>
      </c>
      <c r="L296" s="2" t="s">
        <v>45</v>
      </c>
    </row>
    <row r="297" customFormat="false" ht="12.75" hidden="false" customHeight="false" outlineLevel="0" collapsed="false">
      <c r="A297" s="2" t="s">
        <v>411</v>
      </c>
      <c r="B297" s="3" t="n">
        <v>46227</v>
      </c>
      <c r="C297" s="2" t="s">
        <v>28</v>
      </c>
      <c r="D297" s="2" t="s">
        <v>56</v>
      </c>
      <c r="E297" s="2" t="s">
        <v>15</v>
      </c>
      <c r="F297" s="2" t="s">
        <v>24</v>
      </c>
      <c r="G297" s="2" t="s">
        <v>17</v>
      </c>
      <c r="H297" s="2" t="s">
        <v>18</v>
      </c>
      <c r="I297" s="2" t="s">
        <v>25</v>
      </c>
      <c r="J297" s="2" t="s">
        <v>20</v>
      </c>
      <c r="K297" s="3" t="n">
        <v>46231</v>
      </c>
      <c r="L297" s="2" t="s">
        <v>78</v>
      </c>
    </row>
    <row r="298" customFormat="false" ht="12.75" hidden="false" customHeight="false" outlineLevel="0" collapsed="false">
      <c r="A298" s="2" t="s">
        <v>412</v>
      </c>
      <c r="B298" s="3" t="n">
        <v>46129</v>
      </c>
      <c r="C298" s="2" t="s">
        <v>43</v>
      </c>
      <c r="D298" s="2" t="s">
        <v>100</v>
      </c>
      <c r="E298" s="2" t="s">
        <v>52</v>
      </c>
      <c r="F298" s="2" t="s">
        <v>16</v>
      </c>
      <c r="G298" s="2" t="s">
        <v>17</v>
      </c>
      <c r="H298" s="2" t="s">
        <v>49</v>
      </c>
      <c r="I298" s="2" t="s">
        <v>53</v>
      </c>
      <c r="J298" s="2" t="s">
        <v>58</v>
      </c>
      <c r="K298" s="2"/>
      <c r="L298" s="2" t="s">
        <v>54</v>
      </c>
    </row>
    <row r="299" customFormat="false" ht="12.75" hidden="false" customHeight="false" outlineLevel="0" collapsed="false">
      <c r="A299" s="2" t="s">
        <v>413</v>
      </c>
      <c r="B299" s="3" t="n">
        <v>46097</v>
      </c>
      <c r="C299" s="2" t="s">
        <v>69</v>
      </c>
      <c r="D299" s="2" t="s">
        <v>51</v>
      </c>
      <c r="E299" s="2" t="s">
        <v>66</v>
      </c>
      <c r="F299" s="2" t="s">
        <v>24</v>
      </c>
      <c r="G299" s="2" t="s">
        <v>17</v>
      </c>
      <c r="H299" s="2" t="s">
        <v>18</v>
      </c>
      <c r="I299" s="2" t="s">
        <v>25</v>
      </c>
      <c r="J299" s="2" t="s">
        <v>213</v>
      </c>
      <c r="K299" s="2"/>
      <c r="L299" s="2" t="s">
        <v>136</v>
      </c>
    </row>
    <row r="300" customFormat="false" ht="12.75" hidden="false" customHeight="false" outlineLevel="0" collapsed="false">
      <c r="A300" s="2" t="s">
        <v>414</v>
      </c>
      <c r="B300" s="3" t="n">
        <v>46041</v>
      </c>
      <c r="C300" s="2" t="s">
        <v>61</v>
      </c>
      <c r="D300" s="2" t="s">
        <v>100</v>
      </c>
      <c r="E300" s="2" t="s">
        <v>66</v>
      </c>
      <c r="F300" s="2" t="s">
        <v>30</v>
      </c>
      <c r="G300" s="2" t="s">
        <v>17</v>
      </c>
      <c r="H300" s="2" t="s">
        <v>77</v>
      </c>
      <c r="I300" s="2" t="s">
        <v>53</v>
      </c>
      <c r="J300" s="2" t="s">
        <v>83</v>
      </c>
      <c r="K300" s="2"/>
      <c r="L300" s="2" t="s">
        <v>86</v>
      </c>
    </row>
    <row r="301" customFormat="false" ht="12.75" hidden="false" customHeight="false" outlineLevel="0" collapsed="false">
      <c r="A301" s="2" t="s">
        <v>415</v>
      </c>
      <c r="B301" s="3" t="n">
        <v>46123</v>
      </c>
      <c r="C301" s="2" t="s">
        <v>164</v>
      </c>
      <c r="D301" s="2" t="s">
        <v>70</v>
      </c>
      <c r="E301" s="2" t="s">
        <v>52</v>
      </c>
      <c r="F301" s="2" t="s">
        <v>24</v>
      </c>
      <c r="G301" s="2" t="s">
        <v>17</v>
      </c>
      <c r="H301" s="2" t="s">
        <v>18</v>
      </c>
      <c r="I301" s="2" t="s">
        <v>40</v>
      </c>
      <c r="J301" s="2" t="s">
        <v>83</v>
      </c>
      <c r="K301" s="2"/>
      <c r="L301" s="2" t="s">
        <v>95</v>
      </c>
    </row>
    <row r="302" customFormat="false" ht="12.75" hidden="false" customHeight="false" outlineLevel="0" collapsed="false">
      <c r="A302" s="2" t="s">
        <v>416</v>
      </c>
      <c r="B302" s="3" t="n">
        <v>46215</v>
      </c>
      <c r="C302" s="2" t="s">
        <v>22</v>
      </c>
      <c r="D302" s="2" t="s">
        <v>100</v>
      </c>
      <c r="E302" s="2" t="s">
        <v>15</v>
      </c>
      <c r="F302" s="2" t="s">
        <v>16</v>
      </c>
      <c r="G302" s="2" t="s">
        <v>17</v>
      </c>
      <c r="H302" s="2" t="s">
        <v>18</v>
      </c>
      <c r="I302" s="2" t="s">
        <v>25</v>
      </c>
      <c r="J302" s="2" t="s">
        <v>20</v>
      </c>
      <c r="K302" s="3" t="n">
        <v>46226</v>
      </c>
      <c r="L302" s="2" t="s">
        <v>26</v>
      </c>
    </row>
    <row r="303" customFormat="false" ht="12.75" hidden="false" customHeight="false" outlineLevel="0" collapsed="false">
      <c r="A303" s="2" t="s">
        <v>417</v>
      </c>
      <c r="B303" s="2" t="s">
        <v>418</v>
      </c>
      <c r="C303" s="2" t="s">
        <v>28</v>
      </c>
      <c r="D303" s="2" t="s">
        <v>169</v>
      </c>
      <c r="E303" s="2" t="s">
        <v>52</v>
      </c>
      <c r="F303" s="2" t="s">
        <v>16</v>
      </c>
      <c r="G303" s="2" t="s">
        <v>17</v>
      </c>
      <c r="H303" s="2" t="s">
        <v>18</v>
      </c>
      <c r="I303" s="2" t="s">
        <v>25</v>
      </c>
      <c r="J303" s="2" t="s">
        <v>20</v>
      </c>
      <c r="K303" s="3" t="n">
        <v>46123</v>
      </c>
      <c r="L303" s="2" t="s">
        <v>54</v>
      </c>
    </row>
    <row r="304" customFormat="false" ht="12.75" hidden="false" customHeight="false" outlineLevel="0" collapsed="false">
      <c r="A304" s="2" t="s">
        <v>419</v>
      </c>
      <c r="B304" s="3" t="n">
        <v>46198</v>
      </c>
      <c r="C304" s="2" t="s">
        <v>22</v>
      </c>
      <c r="D304" s="2" t="s">
        <v>47</v>
      </c>
      <c r="E304" s="2" t="s">
        <v>66</v>
      </c>
      <c r="F304" s="2" t="s">
        <v>24</v>
      </c>
      <c r="G304" s="2" t="s">
        <v>17</v>
      </c>
      <c r="H304" s="2" t="s">
        <v>18</v>
      </c>
      <c r="I304" s="2" t="s">
        <v>53</v>
      </c>
      <c r="J304" s="2" t="s">
        <v>83</v>
      </c>
      <c r="K304" s="2"/>
      <c r="L304" s="2" t="s">
        <v>67</v>
      </c>
    </row>
    <row r="305" customFormat="false" ht="12.75" hidden="false" customHeight="false" outlineLevel="0" collapsed="false">
      <c r="A305" s="2" t="s">
        <v>420</v>
      </c>
      <c r="B305" s="3" t="n">
        <v>46055</v>
      </c>
      <c r="C305" s="2" t="s">
        <v>22</v>
      </c>
      <c r="D305" s="2" t="s">
        <v>70</v>
      </c>
      <c r="E305" s="2" t="s">
        <v>37</v>
      </c>
      <c r="F305" s="2" t="s">
        <v>24</v>
      </c>
      <c r="G305" s="2" t="s">
        <v>17</v>
      </c>
      <c r="H305" s="2" t="s">
        <v>18</v>
      </c>
      <c r="I305" s="2" t="s">
        <v>53</v>
      </c>
      <c r="J305" s="2" t="s">
        <v>108</v>
      </c>
      <c r="K305" s="2"/>
      <c r="L305" s="2" t="s">
        <v>59</v>
      </c>
    </row>
    <row r="306" customFormat="false" ht="12.75" hidden="false" customHeight="false" outlineLevel="0" collapsed="false">
      <c r="A306" s="2" t="s">
        <v>421</v>
      </c>
      <c r="B306" s="3" t="n">
        <v>46064</v>
      </c>
      <c r="C306" s="2" t="s">
        <v>103</v>
      </c>
      <c r="D306" s="2" t="s">
        <v>51</v>
      </c>
      <c r="E306" s="2" t="s">
        <v>29</v>
      </c>
      <c r="F306" s="2" t="s">
        <v>30</v>
      </c>
      <c r="G306" s="2" t="s">
        <v>17</v>
      </c>
      <c r="H306" s="2" t="s">
        <v>18</v>
      </c>
      <c r="I306" s="2" t="s">
        <v>53</v>
      </c>
      <c r="J306" s="2" t="s">
        <v>83</v>
      </c>
      <c r="K306" s="2"/>
      <c r="L306" s="2" t="s">
        <v>32</v>
      </c>
    </row>
    <row r="307" customFormat="false" ht="12.75" hidden="false" customHeight="false" outlineLevel="0" collapsed="false">
      <c r="A307" s="2" t="s">
        <v>422</v>
      </c>
      <c r="B307" s="3" t="n">
        <v>46164</v>
      </c>
      <c r="C307" s="2" t="s">
        <v>28</v>
      </c>
      <c r="D307" s="2" t="s">
        <v>56</v>
      </c>
      <c r="E307" s="2" t="s">
        <v>66</v>
      </c>
      <c r="F307" s="2" t="s">
        <v>24</v>
      </c>
      <c r="G307" s="2" t="s">
        <v>17</v>
      </c>
      <c r="H307" s="2" t="s">
        <v>49</v>
      </c>
      <c r="I307" s="2" t="s">
        <v>81</v>
      </c>
      <c r="J307" s="2" t="s">
        <v>20</v>
      </c>
      <c r="K307" s="3" t="n">
        <v>46189</v>
      </c>
      <c r="L307" s="2" t="s">
        <v>136</v>
      </c>
    </row>
    <row r="308" customFormat="false" ht="12.75" hidden="false" customHeight="false" outlineLevel="0" collapsed="false">
      <c r="A308" s="2" t="s">
        <v>198</v>
      </c>
      <c r="B308" s="3" t="n">
        <v>46094</v>
      </c>
      <c r="C308" s="2" t="s">
        <v>43</v>
      </c>
      <c r="D308" s="2" t="s">
        <v>44</v>
      </c>
      <c r="E308" s="2" t="s">
        <v>66</v>
      </c>
      <c r="F308" s="2" t="s">
        <v>24</v>
      </c>
      <c r="G308" s="2" t="s">
        <v>17</v>
      </c>
      <c r="H308" s="2" t="s">
        <v>49</v>
      </c>
      <c r="I308" s="2" t="s">
        <v>40</v>
      </c>
      <c r="J308" s="2" t="s">
        <v>58</v>
      </c>
      <c r="K308" s="2"/>
      <c r="L308" s="2" t="s">
        <v>136</v>
      </c>
    </row>
    <row r="309" customFormat="false" ht="12.75" hidden="false" customHeight="false" outlineLevel="0" collapsed="false">
      <c r="A309" s="2" t="s">
        <v>423</v>
      </c>
      <c r="B309" s="3" t="n">
        <v>46213</v>
      </c>
      <c r="C309" s="2" t="s">
        <v>103</v>
      </c>
      <c r="D309" s="2" t="s">
        <v>23</v>
      </c>
      <c r="E309" s="2" t="s">
        <v>66</v>
      </c>
      <c r="F309" s="2" t="s">
        <v>24</v>
      </c>
      <c r="G309" s="2" t="s">
        <v>17</v>
      </c>
      <c r="H309" s="2" t="s">
        <v>18</v>
      </c>
      <c r="I309" s="2" t="s">
        <v>53</v>
      </c>
      <c r="J309" s="2" t="s">
        <v>134</v>
      </c>
      <c r="K309" s="2"/>
      <c r="L309" s="2" t="s">
        <v>67</v>
      </c>
    </row>
    <row r="310" customFormat="false" ht="12.75" hidden="false" customHeight="false" outlineLevel="0" collapsed="false">
      <c r="A310" s="2" t="s">
        <v>424</v>
      </c>
      <c r="B310" s="3" t="n">
        <v>46087</v>
      </c>
      <c r="C310" s="2" t="s">
        <v>127</v>
      </c>
      <c r="D310" s="2" t="s">
        <v>14</v>
      </c>
      <c r="E310" s="2" t="s">
        <v>15</v>
      </c>
      <c r="F310" s="2" t="s">
        <v>38</v>
      </c>
      <c r="G310" s="2" t="s">
        <v>39</v>
      </c>
      <c r="H310" s="2" t="s">
        <v>49</v>
      </c>
      <c r="I310" s="2" t="s">
        <v>19</v>
      </c>
      <c r="J310" s="2" t="s">
        <v>58</v>
      </c>
      <c r="K310" s="2"/>
      <c r="L310" s="2" t="s">
        <v>41</v>
      </c>
    </row>
    <row r="311" customFormat="false" ht="12.75" hidden="false" customHeight="false" outlineLevel="0" collapsed="false">
      <c r="A311" s="2" t="s">
        <v>425</v>
      </c>
      <c r="B311" s="3" t="n">
        <v>46178</v>
      </c>
      <c r="C311" s="2" t="s">
        <v>113</v>
      </c>
      <c r="D311" s="2" t="s">
        <v>36</v>
      </c>
      <c r="E311" s="2" t="s">
        <v>37</v>
      </c>
      <c r="F311" s="2" t="s">
        <v>48</v>
      </c>
      <c r="G311" s="2" t="s">
        <v>17</v>
      </c>
      <c r="H311" s="2" t="s">
        <v>49</v>
      </c>
      <c r="I311" s="2" t="s">
        <v>25</v>
      </c>
      <c r="J311" s="2" t="s">
        <v>20</v>
      </c>
      <c r="K311" s="3" t="n">
        <v>46186</v>
      </c>
      <c r="L311" s="2" t="s">
        <v>144</v>
      </c>
    </row>
    <row r="312" customFormat="false" ht="12.75" hidden="false" customHeight="false" outlineLevel="0" collapsed="false">
      <c r="A312" s="2" t="s">
        <v>426</v>
      </c>
      <c r="B312" s="3" t="n">
        <v>46154</v>
      </c>
      <c r="C312" s="2" t="s">
        <v>13</v>
      </c>
      <c r="D312" s="2" t="s">
        <v>56</v>
      </c>
      <c r="E312" s="2" t="s">
        <v>52</v>
      </c>
      <c r="F312" s="2" t="s">
        <v>24</v>
      </c>
      <c r="G312" s="2" t="s">
        <v>17</v>
      </c>
      <c r="H312" s="2" t="s">
        <v>49</v>
      </c>
      <c r="I312" s="2" t="s">
        <v>40</v>
      </c>
      <c r="J312" s="2" t="s">
        <v>106</v>
      </c>
      <c r="K312" s="2"/>
      <c r="L312" s="2" t="s">
        <v>95</v>
      </c>
    </row>
    <row r="313" customFormat="false" ht="12.75" hidden="false" customHeight="false" outlineLevel="0" collapsed="false">
      <c r="A313" s="2" t="s">
        <v>427</v>
      </c>
      <c r="B313" s="3" t="n">
        <v>46158</v>
      </c>
      <c r="C313" s="2" t="s">
        <v>13</v>
      </c>
      <c r="D313" s="2" t="s">
        <v>70</v>
      </c>
      <c r="E313" s="2" t="s">
        <v>37</v>
      </c>
      <c r="F313" s="2" t="s">
        <v>24</v>
      </c>
      <c r="G313" s="2" t="s">
        <v>17</v>
      </c>
      <c r="H313" s="2" t="s">
        <v>18</v>
      </c>
      <c r="I313" s="2" t="s">
        <v>53</v>
      </c>
      <c r="J313" s="2" t="s">
        <v>20</v>
      </c>
      <c r="K313" s="3" t="n">
        <v>46165</v>
      </c>
      <c r="L313" s="2" t="s">
        <v>144</v>
      </c>
    </row>
    <row r="314" customFormat="false" ht="12.75" hidden="false" customHeight="false" outlineLevel="0" collapsed="false">
      <c r="A314" s="2" t="s">
        <v>428</v>
      </c>
      <c r="B314" s="3" t="n">
        <v>46165</v>
      </c>
      <c r="C314" s="2" t="s">
        <v>35</v>
      </c>
      <c r="D314" s="2" t="s">
        <v>100</v>
      </c>
      <c r="E314" s="2" t="s">
        <v>29</v>
      </c>
      <c r="F314" s="2" t="s">
        <v>16</v>
      </c>
      <c r="G314" s="2" t="s">
        <v>17</v>
      </c>
      <c r="H314" s="2" t="s">
        <v>80</v>
      </c>
      <c r="I314" s="2" t="s">
        <v>40</v>
      </c>
      <c r="J314" s="2" t="s">
        <v>20</v>
      </c>
      <c r="K314" s="3" t="n">
        <v>46193</v>
      </c>
      <c r="L314" s="2" t="s">
        <v>104</v>
      </c>
    </row>
    <row r="315" customFormat="false" ht="12.75" hidden="false" customHeight="false" outlineLevel="0" collapsed="false">
      <c r="A315" s="2" t="s">
        <v>429</v>
      </c>
      <c r="B315" s="3" t="n">
        <v>46217</v>
      </c>
      <c r="C315" s="2" t="s">
        <v>22</v>
      </c>
      <c r="D315" s="2" t="s">
        <v>70</v>
      </c>
      <c r="E315" s="2"/>
      <c r="F315" s="2" t="s">
        <v>16</v>
      </c>
      <c r="G315" s="2" t="s">
        <v>17</v>
      </c>
      <c r="H315" s="2" t="s">
        <v>18</v>
      </c>
      <c r="I315" s="2" t="s">
        <v>53</v>
      </c>
      <c r="J315" s="2" t="s">
        <v>20</v>
      </c>
      <c r="K315" s="3" t="n">
        <v>46222</v>
      </c>
      <c r="L315" s="2" t="s">
        <v>88</v>
      </c>
    </row>
    <row r="316" customFormat="false" ht="12.75" hidden="false" customHeight="false" outlineLevel="0" collapsed="false">
      <c r="A316" s="2" t="s">
        <v>305</v>
      </c>
      <c r="B316" s="3" t="n">
        <v>46110</v>
      </c>
      <c r="C316" s="2" t="s">
        <v>22</v>
      </c>
      <c r="D316" s="2" t="s">
        <v>56</v>
      </c>
      <c r="E316" s="2" t="s">
        <v>29</v>
      </c>
      <c r="F316" s="2" t="s">
        <v>48</v>
      </c>
      <c r="G316" s="2" t="s">
        <v>17</v>
      </c>
      <c r="H316" s="2" t="s">
        <v>179</v>
      </c>
      <c r="I316" s="2" t="s">
        <v>40</v>
      </c>
      <c r="J316" s="2" t="s">
        <v>20</v>
      </c>
      <c r="K316" s="2" t="s">
        <v>306</v>
      </c>
      <c r="L316" s="2" t="s">
        <v>45</v>
      </c>
    </row>
    <row r="317" customFormat="false" ht="12.75" hidden="false" customHeight="false" outlineLevel="0" collapsed="false">
      <c r="A317" s="2" t="s">
        <v>430</v>
      </c>
      <c r="B317" s="3" t="n">
        <v>46165</v>
      </c>
      <c r="C317" s="2" t="s">
        <v>121</v>
      </c>
      <c r="D317" s="2" t="s">
        <v>100</v>
      </c>
      <c r="E317" s="2" t="s">
        <v>37</v>
      </c>
      <c r="F317" s="2" t="s">
        <v>24</v>
      </c>
      <c r="G317" s="2" t="s">
        <v>17</v>
      </c>
      <c r="H317" s="2" t="s">
        <v>49</v>
      </c>
      <c r="I317" s="2" t="s">
        <v>19</v>
      </c>
      <c r="J317" s="2" t="s">
        <v>182</v>
      </c>
      <c r="K317" s="2"/>
      <c r="L317" s="2" t="s">
        <v>144</v>
      </c>
    </row>
    <row r="318" customFormat="false" ht="12.75" hidden="false" customHeight="false" outlineLevel="0" collapsed="false">
      <c r="A318" s="2" t="s">
        <v>431</v>
      </c>
      <c r="B318" s="3" t="n">
        <v>46222</v>
      </c>
      <c r="C318" s="2" t="s">
        <v>202</v>
      </c>
      <c r="D318" s="2" t="s">
        <v>70</v>
      </c>
      <c r="E318" s="2" t="s">
        <v>66</v>
      </c>
      <c r="F318" s="2" t="s">
        <v>48</v>
      </c>
      <c r="G318" s="2" t="s">
        <v>17</v>
      </c>
      <c r="H318" s="2" t="s">
        <v>18</v>
      </c>
      <c r="I318" s="2" t="s">
        <v>53</v>
      </c>
      <c r="J318" s="2" t="s">
        <v>134</v>
      </c>
      <c r="K318" s="2"/>
      <c r="L318" s="2" t="s">
        <v>86</v>
      </c>
    </row>
    <row r="319" customFormat="false" ht="12.75" hidden="false" customHeight="false" outlineLevel="0" collapsed="false">
      <c r="A319" s="2" t="s">
        <v>432</v>
      </c>
      <c r="B319" s="3" t="n">
        <v>46066</v>
      </c>
      <c r="C319" s="2" t="s">
        <v>61</v>
      </c>
      <c r="D319" s="2" t="s">
        <v>14</v>
      </c>
      <c r="E319" s="2" t="s">
        <v>37</v>
      </c>
      <c r="F319" s="2" t="s">
        <v>24</v>
      </c>
      <c r="G319" s="2" t="s">
        <v>17</v>
      </c>
      <c r="H319" s="2" t="s">
        <v>77</v>
      </c>
      <c r="I319" s="2" t="s">
        <v>19</v>
      </c>
      <c r="J319" s="2" t="s">
        <v>58</v>
      </c>
      <c r="K319" s="3" t="n">
        <v>46086</v>
      </c>
      <c r="L319" s="2" t="s">
        <v>72</v>
      </c>
    </row>
    <row r="320" customFormat="false" ht="12.75" hidden="false" customHeight="false" outlineLevel="0" collapsed="false">
      <c r="A320" s="2" t="s">
        <v>433</v>
      </c>
      <c r="B320" s="3" t="n">
        <v>46203</v>
      </c>
      <c r="C320" s="2" t="s">
        <v>13</v>
      </c>
      <c r="D320" s="2" t="s">
        <v>70</v>
      </c>
      <c r="E320" s="2" t="s">
        <v>37</v>
      </c>
      <c r="F320" s="2" t="s">
        <v>38</v>
      </c>
      <c r="G320" s="2" t="s">
        <v>39</v>
      </c>
      <c r="H320" s="2" t="s">
        <v>18</v>
      </c>
      <c r="I320" s="2" t="s">
        <v>40</v>
      </c>
      <c r="J320" s="2" t="s">
        <v>20</v>
      </c>
      <c r="K320" s="3" t="n">
        <v>46205</v>
      </c>
      <c r="L320" s="2" t="s">
        <v>41</v>
      </c>
    </row>
    <row r="321" customFormat="false" ht="12.75" hidden="false" customHeight="false" outlineLevel="0" collapsed="false">
      <c r="A321" s="2" t="s">
        <v>434</v>
      </c>
      <c r="B321" s="3" t="n">
        <v>46158</v>
      </c>
      <c r="C321" s="2" t="s">
        <v>164</v>
      </c>
      <c r="D321" s="2" t="s">
        <v>56</v>
      </c>
      <c r="E321" s="2" t="s">
        <v>66</v>
      </c>
      <c r="F321" s="2" t="s">
        <v>16</v>
      </c>
      <c r="G321" s="2" t="s">
        <v>17</v>
      </c>
      <c r="H321" s="2" t="s">
        <v>49</v>
      </c>
      <c r="I321" s="2" t="s">
        <v>25</v>
      </c>
      <c r="J321" s="2" t="s">
        <v>106</v>
      </c>
      <c r="K321" s="2"/>
      <c r="L321" s="2"/>
    </row>
    <row r="322" customFormat="false" ht="12.75" hidden="false" customHeight="false" outlineLevel="0" collapsed="false">
      <c r="A322" s="2" t="s">
        <v>435</v>
      </c>
      <c r="B322" s="3" t="n">
        <v>46159</v>
      </c>
      <c r="C322" s="2" t="s">
        <v>35</v>
      </c>
      <c r="D322" s="2" t="s">
        <v>62</v>
      </c>
      <c r="E322" s="2" t="s">
        <v>37</v>
      </c>
      <c r="F322" s="2" t="s">
        <v>24</v>
      </c>
      <c r="G322" s="2" t="s">
        <v>17</v>
      </c>
      <c r="H322" s="2" t="s">
        <v>18</v>
      </c>
      <c r="I322" s="2" t="s">
        <v>40</v>
      </c>
      <c r="J322" s="2" t="s">
        <v>20</v>
      </c>
      <c r="K322" s="3" t="n">
        <v>46183</v>
      </c>
      <c r="L322" s="2" t="s">
        <v>59</v>
      </c>
    </row>
    <row r="323" customFormat="false" ht="12.75" hidden="false" customHeight="false" outlineLevel="0" collapsed="false">
      <c r="A323" s="2" t="s">
        <v>436</v>
      </c>
      <c r="B323" s="3" t="n">
        <v>46105</v>
      </c>
      <c r="C323" s="2" t="s">
        <v>103</v>
      </c>
      <c r="D323" s="2" t="s">
        <v>116</v>
      </c>
      <c r="E323" s="2" t="s">
        <v>66</v>
      </c>
      <c r="F323" s="2" t="s">
        <v>48</v>
      </c>
      <c r="G323" s="2" t="s">
        <v>17</v>
      </c>
      <c r="H323" s="2" t="s">
        <v>49</v>
      </c>
      <c r="I323" s="2" t="s">
        <v>40</v>
      </c>
      <c r="J323" s="2" t="s">
        <v>134</v>
      </c>
      <c r="K323" s="3" t="n">
        <v>46120</v>
      </c>
      <c r="L323" s="2" t="s">
        <v>67</v>
      </c>
    </row>
    <row r="324" customFormat="false" ht="12.75" hidden="false" customHeight="false" outlineLevel="0" collapsed="false">
      <c r="A324" s="2" t="s">
        <v>437</v>
      </c>
      <c r="B324" s="3" t="n">
        <v>46136</v>
      </c>
      <c r="C324" s="2" t="s">
        <v>103</v>
      </c>
      <c r="D324" s="2" t="s">
        <v>23</v>
      </c>
      <c r="E324" s="2" t="s">
        <v>15</v>
      </c>
      <c r="F324" s="2" t="s">
        <v>24</v>
      </c>
      <c r="G324" s="2" t="s">
        <v>17</v>
      </c>
      <c r="H324" s="2" t="s">
        <v>49</v>
      </c>
      <c r="I324" s="2" t="s">
        <v>53</v>
      </c>
      <c r="J324" s="2" t="s">
        <v>20</v>
      </c>
      <c r="K324" s="3" t="n">
        <v>46147</v>
      </c>
      <c r="L324" s="2" t="s">
        <v>63</v>
      </c>
    </row>
    <row r="325" customFormat="false" ht="12.75" hidden="false" customHeight="false" outlineLevel="0" collapsed="false">
      <c r="A325" s="2" t="s">
        <v>438</v>
      </c>
      <c r="B325" s="3" t="n">
        <v>46041</v>
      </c>
      <c r="C325" s="2" t="s">
        <v>61</v>
      </c>
      <c r="D325" s="2" t="s">
        <v>70</v>
      </c>
      <c r="E325" s="2" t="s">
        <v>15</v>
      </c>
      <c r="F325" s="2" t="s">
        <v>16</v>
      </c>
      <c r="G325" s="2" t="s">
        <v>17</v>
      </c>
      <c r="H325" s="2" t="s">
        <v>18</v>
      </c>
      <c r="I325" s="2" t="s">
        <v>53</v>
      </c>
      <c r="J325" s="2" t="s">
        <v>83</v>
      </c>
      <c r="K325" s="2"/>
      <c r="L325" s="2" t="s">
        <v>63</v>
      </c>
    </row>
    <row r="326" customFormat="false" ht="12.75" hidden="false" customHeight="false" outlineLevel="0" collapsed="false">
      <c r="A326" s="2" t="s">
        <v>439</v>
      </c>
      <c r="B326" s="3" t="n">
        <v>46101</v>
      </c>
      <c r="C326" s="2" t="s">
        <v>28</v>
      </c>
      <c r="D326" s="2" t="s">
        <v>56</v>
      </c>
      <c r="E326" s="2" t="s">
        <v>15</v>
      </c>
      <c r="F326" s="2" t="s">
        <v>38</v>
      </c>
      <c r="G326" s="2" t="s">
        <v>39</v>
      </c>
      <c r="H326" s="2" t="s">
        <v>18</v>
      </c>
      <c r="I326" s="2" t="s">
        <v>19</v>
      </c>
      <c r="J326" s="2" t="s">
        <v>20</v>
      </c>
      <c r="K326" s="2"/>
      <c r="L326" s="2" t="s">
        <v>41</v>
      </c>
    </row>
    <row r="327" customFormat="false" ht="12.75" hidden="false" customHeight="false" outlineLevel="0" collapsed="false">
      <c r="A327" s="2" t="s">
        <v>440</v>
      </c>
      <c r="B327" s="3" t="n">
        <v>46220</v>
      </c>
      <c r="C327" s="2" t="s">
        <v>22</v>
      </c>
      <c r="D327" s="2" t="s">
        <v>203</v>
      </c>
      <c r="E327" s="2" t="s">
        <v>15</v>
      </c>
      <c r="F327" s="2" t="s">
        <v>16</v>
      </c>
      <c r="G327" s="2" t="s">
        <v>17</v>
      </c>
      <c r="H327" s="2" t="s">
        <v>18</v>
      </c>
      <c r="I327" s="2" t="s">
        <v>25</v>
      </c>
      <c r="J327" s="2" t="s">
        <v>58</v>
      </c>
      <c r="K327" s="2"/>
      <c r="L327" s="2" t="s">
        <v>114</v>
      </c>
    </row>
    <row r="328" customFormat="false" ht="12.75" hidden="false" customHeight="false" outlineLevel="0" collapsed="false">
      <c r="A328" s="2" t="s">
        <v>441</v>
      </c>
      <c r="B328" s="3" t="n">
        <v>46156</v>
      </c>
      <c r="C328" s="2" t="s">
        <v>35</v>
      </c>
      <c r="D328" s="2" t="s">
        <v>215</v>
      </c>
      <c r="E328" s="2" t="s">
        <v>66</v>
      </c>
      <c r="F328" s="2" t="s">
        <v>48</v>
      </c>
      <c r="G328" s="2" t="s">
        <v>17</v>
      </c>
      <c r="H328" s="2" t="s">
        <v>49</v>
      </c>
      <c r="I328" s="2" t="s">
        <v>40</v>
      </c>
      <c r="J328" s="2" t="s">
        <v>20</v>
      </c>
      <c r="K328" s="3" t="n">
        <v>46177</v>
      </c>
      <c r="L328" s="2" t="s">
        <v>136</v>
      </c>
    </row>
    <row r="329" customFormat="false" ht="12.75" hidden="false" customHeight="false" outlineLevel="0" collapsed="false">
      <c r="A329" s="2" t="s">
        <v>442</v>
      </c>
      <c r="B329" s="3" t="n">
        <v>46216</v>
      </c>
      <c r="C329" s="2" t="s">
        <v>13</v>
      </c>
      <c r="D329" s="2" t="s">
        <v>70</v>
      </c>
      <c r="E329" s="2" t="s">
        <v>37</v>
      </c>
      <c r="F329" s="2" t="s">
        <v>16</v>
      </c>
      <c r="G329" s="2" t="s">
        <v>17</v>
      </c>
      <c r="H329" s="2" t="s">
        <v>49</v>
      </c>
      <c r="I329" s="2" t="s">
        <v>53</v>
      </c>
      <c r="J329" s="2" t="s">
        <v>20</v>
      </c>
      <c r="K329" s="3" t="n">
        <v>46221</v>
      </c>
      <c r="L329" s="2" t="s">
        <v>144</v>
      </c>
    </row>
    <row r="330" customFormat="false" ht="12.75" hidden="false" customHeight="false" outlineLevel="0" collapsed="false">
      <c r="A330" s="2" t="s">
        <v>443</v>
      </c>
      <c r="B330" s="3" t="n">
        <v>46054</v>
      </c>
      <c r="C330" s="2" t="s">
        <v>123</v>
      </c>
      <c r="D330" s="2" t="s">
        <v>14</v>
      </c>
      <c r="E330" s="2" t="s">
        <v>29</v>
      </c>
      <c r="F330" s="2" t="s">
        <v>24</v>
      </c>
      <c r="G330" s="2" t="s">
        <v>17</v>
      </c>
      <c r="H330" s="2" t="s">
        <v>18</v>
      </c>
      <c r="I330" s="2" t="s">
        <v>40</v>
      </c>
      <c r="J330" s="2" t="s">
        <v>129</v>
      </c>
      <c r="K330" s="2"/>
      <c r="L330" s="2" t="s">
        <v>32</v>
      </c>
    </row>
    <row r="331" customFormat="false" ht="12.75" hidden="false" customHeight="false" outlineLevel="0" collapsed="false">
      <c r="A331" s="2" t="s">
        <v>444</v>
      </c>
      <c r="B331" s="3" t="n">
        <v>46091</v>
      </c>
      <c r="C331" s="2" t="s">
        <v>22</v>
      </c>
      <c r="D331" s="2" t="s">
        <v>14</v>
      </c>
      <c r="E331" s="2"/>
      <c r="F331" s="2" t="s">
        <v>38</v>
      </c>
      <c r="G331" s="2" t="s">
        <v>39</v>
      </c>
      <c r="H331" s="2" t="s">
        <v>110</v>
      </c>
      <c r="I331" s="2" t="s">
        <v>40</v>
      </c>
      <c r="J331" s="2" t="s">
        <v>108</v>
      </c>
      <c r="K331" s="2"/>
      <c r="L331" s="2" t="s">
        <v>41</v>
      </c>
    </row>
    <row r="332" customFormat="false" ht="12.75" hidden="false" customHeight="false" outlineLevel="0" collapsed="false">
      <c r="A332" s="2" t="s">
        <v>445</v>
      </c>
      <c r="B332" s="3" t="n">
        <v>46160</v>
      </c>
      <c r="C332" s="2" t="s">
        <v>35</v>
      </c>
      <c r="D332" s="2" t="s">
        <v>51</v>
      </c>
      <c r="E332" s="2" t="s">
        <v>15</v>
      </c>
      <c r="F332" s="2" t="s">
        <v>48</v>
      </c>
      <c r="G332" s="2" t="s">
        <v>17</v>
      </c>
      <c r="H332" s="2" t="s">
        <v>49</v>
      </c>
      <c r="I332" s="2" t="s">
        <v>19</v>
      </c>
      <c r="J332" s="2" t="s">
        <v>134</v>
      </c>
      <c r="K332" s="3" t="n">
        <v>46168</v>
      </c>
      <c r="L332" s="2" t="s">
        <v>63</v>
      </c>
    </row>
    <row r="333" customFormat="false" ht="12.75" hidden="false" customHeight="false" outlineLevel="0" collapsed="false">
      <c r="A333" s="2" t="s">
        <v>446</v>
      </c>
      <c r="B333" s="3" t="n">
        <v>46151</v>
      </c>
      <c r="C333" s="2" t="s">
        <v>13</v>
      </c>
      <c r="D333" s="2" t="s">
        <v>215</v>
      </c>
      <c r="E333" s="2" t="s">
        <v>66</v>
      </c>
      <c r="F333" s="2" t="s">
        <v>16</v>
      </c>
      <c r="G333" s="2" t="s">
        <v>17</v>
      </c>
      <c r="H333" s="2" t="s">
        <v>77</v>
      </c>
      <c r="I333" s="2" t="s">
        <v>53</v>
      </c>
      <c r="J333" s="2" t="s">
        <v>83</v>
      </c>
      <c r="K333" s="2"/>
      <c r="L333" s="2" t="s">
        <v>136</v>
      </c>
    </row>
    <row r="334" customFormat="false" ht="12.75" hidden="false" customHeight="false" outlineLevel="0" collapsed="false">
      <c r="A334" s="2" t="s">
        <v>447</v>
      </c>
      <c r="B334" s="3" t="n">
        <v>46216</v>
      </c>
      <c r="C334" s="2" t="s">
        <v>35</v>
      </c>
      <c r="D334" s="2" t="s">
        <v>215</v>
      </c>
      <c r="E334" s="2" t="s">
        <v>66</v>
      </c>
      <c r="F334" s="2" t="s">
        <v>24</v>
      </c>
      <c r="G334" s="2" t="s">
        <v>17</v>
      </c>
      <c r="H334" s="2" t="s">
        <v>18</v>
      </c>
      <c r="I334" s="2" t="s">
        <v>53</v>
      </c>
      <c r="J334" s="2" t="s">
        <v>108</v>
      </c>
      <c r="K334" s="2"/>
      <c r="L334" s="2" t="s">
        <v>86</v>
      </c>
    </row>
    <row r="335" customFormat="false" ht="12.75" hidden="false" customHeight="false" outlineLevel="0" collapsed="false">
      <c r="A335" s="2" t="s">
        <v>448</v>
      </c>
      <c r="B335" s="3" t="n">
        <v>46226</v>
      </c>
      <c r="C335" s="2" t="s">
        <v>121</v>
      </c>
      <c r="D335" s="2" t="s">
        <v>36</v>
      </c>
      <c r="E335" s="2" t="s">
        <v>66</v>
      </c>
      <c r="F335" s="2" t="s">
        <v>16</v>
      </c>
      <c r="G335" s="2" t="s">
        <v>17</v>
      </c>
      <c r="H335" s="2" t="s">
        <v>18</v>
      </c>
      <c r="I335" s="2" t="s">
        <v>53</v>
      </c>
      <c r="J335" s="2" t="s">
        <v>20</v>
      </c>
      <c r="K335" s="3" t="n">
        <v>46243</v>
      </c>
      <c r="L335" s="2" t="s">
        <v>86</v>
      </c>
    </row>
    <row r="336" customFormat="false" ht="12.75" hidden="false" customHeight="false" outlineLevel="0" collapsed="false">
      <c r="A336" s="2" t="s">
        <v>449</v>
      </c>
      <c r="B336" s="3" t="n">
        <v>46221</v>
      </c>
      <c r="C336" s="2" t="s">
        <v>13</v>
      </c>
      <c r="D336" s="2" t="s">
        <v>100</v>
      </c>
      <c r="E336" s="2"/>
      <c r="F336" s="2" t="s">
        <v>24</v>
      </c>
      <c r="G336" s="2" t="s">
        <v>17</v>
      </c>
      <c r="H336" s="2" t="s">
        <v>49</v>
      </c>
      <c r="I336" s="2" t="s">
        <v>40</v>
      </c>
      <c r="J336" s="2" t="s">
        <v>108</v>
      </c>
      <c r="K336" s="2"/>
      <c r="L336" s="2" t="s">
        <v>104</v>
      </c>
    </row>
    <row r="337" customFormat="false" ht="12.75" hidden="false" customHeight="false" outlineLevel="0" collapsed="false">
      <c r="A337" s="2" t="s">
        <v>450</v>
      </c>
      <c r="B337" s="3" t="n">
        <v>46218</v>
      </c>
      <c r="C337" s="2" t="s">
        <v>13</v>
      </c>
      <c r="D337" s="2" t="s">
        <v>56</v>
      </c>
      <c r="E337" s="2" t="s">
        <v>52</v>
      </c>
      <c r="F337" s="2" t="s">
        <v>24</v>
      </c>
      <c r="G337" s="2" t="s">
        <v>17</v>
      </c>
      <c r="H337" s="2" t="s">
        <v>18</v>
      </c>
      <c r="I337" s="2" t="s">
        <v>40</v>
      </c>
      <c r="J337" s="2" t="s">
        <v>108</v>
      </c>
      <c r="K337" s="2"/>
      <c r="L337" s="2" t="s">
        <v>97</v>
      </c>
    </row>
    <row r="338" customFormat="false" ht="12.75" hidden="false" customHeight="false" outlineLevel="0" collapsed="false">
      <c r="A338" s="2" t="s">
        <v>451</v>
      </c>
      <c r="B338" s="3" t="n">
        <v>46154</v>
      </c>
      <c r="C338" s="2" t="s">
        <v>61</v>
      </c>
      <c r="D338" s="2" t="s">
        <v>100</v>
      </c>
      <c r="E338" s="2" t="s">
        <v>66</v>
      </c>
      <c r="F338" s="2" t="s">
        <v>30</v>
      </c>
      <c r="G338" s="2" t="s">
        <v>17</v>
      </c>
      <c r="H338" s="2" t="s">
        <v>57</v>
      </c>
      <c r="I338" s="2" t="s">
        <v>53</v>
      </c>
      <c r="J338" s="2" t="s">
        <v>108</v>
      </c>
      <c r="K338" s="2"/>
      <c r="L338" s="2" t="s">
        <v>67</v>
      </c>
    </row>
    <row r="339" customFormat="false" ht="12.75" hidden="false" customHeight="false" outlineLevel="0" collapsed="false">
      <c r="A339" s="2" t="s">
        <v>452</v>
      </c>
      <c r="B339" s="3" t="n">
        <v>46136</v>
      </c>
      <c r="C339" s="2" t="s">
        <v>127</v>
      </c>
      <c r="D339" s="2" t="s">
        <v>100</v>
      </c>
      <c r="E339" s="2" t="s">
        <v>29</v>
      </c>
      <c r="F339" s="2" t="s">
        <v>24</v>
      </c>
      <c r="G339" s="2" t="s">
        <v>17</v>
      </c>
      <c r="H339" s="2" t="s">
        <v>18</v>
      </c>
      <c r="I339" s="2" t="s">
        <v>40</v>
      </c>
      <c r="J339" s="2" t="s">
        <v>108</v>
      </c>
      <c r="K339" s="2"/>
      <c r="L339" s="2"/>
    </row>
    <row r="340" customFormat="false" ht="12.75" hidden="false" customHeight="false" outlineLevel="0" collapsed="false">
      <c r="A340" s="2" t="s">
        <v>453</v>
      </c>
      <c r="B340" s="3" t="n">
        <v>46076</v>
      </c>
      <c r="C340" s="2" t="s">
        <v>205</v>
      </c>
      <c r="D340" s="2" t="s">
        <v>23</v>
      </c>
      <c r="E340" s="2" t="s">
        <v>15</v>
      </c>
      <c r="F340" s="2" t="s">
        <v>24</v>
      </c>
      <c r="G340" s="2" t="s">
        <v>17</v>
      </c>
      <c r="H340" s="2" t="s">
        <v>150</v>
      </c>
      <c r="I340" s="2" t="s">
        <v>81</v>
      </c>
      <c r="J340" s="2" t="s">
        <v>134</v>
      </c>
      <c r="K340" s="3" t="n">
        <v>46094</v>
      </c>
      <c r="L340" s="2" t="s">
        <v>114</v>
      </c>
    </row>
    <row r="341" customFormat="false" ht="12.75" hidden="false" customHeight="false" outlineLevel="0" collapsed="false">
      <c r="A341" s="2" t="s">
        <v>454</v>
      </c>
      <c r="B341" s="3" t="n">
        <v>46146</v>
      </c>
      <c r="C341" s="2" t="s">
        <v>69</v>
      </c>
      <c r="D341" s="2" t="s">
        <v>23</v>
      </c>
      <c r="E341" s="2" t="s">
        <v>52</v>
      </c>
      <c r="F341" s="2" t="s">
        <v>24</v>
      </c>
      <c r="G341" s="2" t="s">
        <v>17</v>
      </c>
      <c r="H341" s="2" t="s">
        <v>49</v>
      </c>
      <c r="I341" s="2" t="s">
        <v>40</v>
      </c>
      <c r="J341" s="2" t="s">
        <v>20</v>
      </c>
      <c r="K341" s="3" t="n">
        <v>46149</v>
      </c>
      <c r="L341" s="2" t="s">
        <v>54</v>
      </c>
    </row>
    <row r="342" customFormat="false" ht="12.75" hidden="false" customHeight="false" outlineLevel="0" collapsed="false">
      <c r="A342" s="2" t="s">
        <v>455</v>
      </c>
      <c r="B342" s="3" t="n">
        <v>46167</v>
      </c>
      <c r="C342" s="2" t="s">
        <v>13</v>
      </c>
      <c r="D342" s="2" t="s">
        <v>215</v>
      </c>
      <c r="E342" s="2" t="s">
        <v>66</v>
      </c>
      <c r="F342" s="2" t="s">
        <v>38</v>
      </c>
      <c r="G342" s="2" t="s">
        <v>39</v>
      </c>
      <c r="H342" s="2" t="s">
        <v>18</v>
      </c>
      <c r="I342" s="2" t="s">
        <v>19</v>
      </c>
      <c r="J342" s="2" t="s">
        <v>58</v>
      </c>
      <c r="K342" s="2"/>
      <c r="L342" s="2" t="s">
        <v>41</v>
      </c>
    </row>
    <row r="343" customFormat="false" ht="12.75" hidden="false" customHeight="false" outlineLevel="0" collapsed="false">
      <c r="A343" s="2" t="s">
        <v>456</v>
      </c>
      <c r="B343" s="3" t="n">
        <v>46075</v>
      </c>
      <c r="C343" s="2" t="s">
        <v>61</v>
      </c>
      <c r="D343" s="2" t="s">
        <v>100</v>
      </c>
      <c r="E343" s="2" t="s">
        <v>52</v>
      </c>
      <c r="F343" s="2" t="s">
        <v>16</v>
      </c>
      <c r="G343" s="2" t="s">
        <v>17</v>
      </c>
      <c r="H343" s="2" t="s">
        <v>18</v>
      </c>
      <c r="I343" s="2" t="s">
        <v>53</v>
      </c>
      <c r="J343" s="2" t="s">
        <v>20</v>
      </c>
      <c r="K343" s="3" t="n">
        <v>46080</v>
      </c>
      <c r="L343" s="2" t="s">
        <v>95</v>
      </c>
    </row>
    <row r="344" customFormat="false" ht="12.75" hidden="false" customHeight="false" outlineLevel="0" collapsed="false">
      <c r="A344" s="2" t="s">
        <v>457</v>
      </c>
      <c r="B344" s="3" t="n">
        <v>46204</v>
      </c>
      <c r="C344" s="2" t="s">
        <v>22</v>
      </c>
      <c r="D344" s="2" t="s">
        <v>100</v>
      </c>
      <c r="E344" s="2" t="s">
        <v>52</v>
      </c>
      <c r="F344" s="2" t="s">
        <v>24</v>
      </c>
      <c r="G344" s="2" t="s">
        <v>17</v>
      </c>
      <c r="H344" s="2" t="s">
        <v>179</v>
      </c>
      <c r="I344" s="2" t="s">
        <v>81</v>
      </c>
      <c r="J344" s="2" t="s">
        <v>134</v>
      </c>
      <c r="K344" s="3" t="n">
        <v>46209</v>
      </c>
      <c r="L344" s="2" t="s">
        <v>97</v>
      </c>
    </row>
    <row r="345" customFormat="false" ht="12.75" hidden="false" customHeight="false" outlineLevel="0" collapsed="false">
      <c r="A345" s="2" t="s">
        <v>458</v>
      </c>
      <c r="B345" s="3" t="n">
        <v>46055</v>
      </c>
      <c r="C345" s="2" t="s">
        <v>35</v>
      </c>
      <c r="D345" s="2" t="s">
        <v>169</v>
      </c>
      <c r="E345" s="2" t="s">
        <v>66</v>
      </c>
      <c r="F345" s="2" t="s">
        <v>24</v>
      </c>
      <c r="G345" s="2" t="s">
        <v>17</v>
      </c>
      <c r="H345" s="2" t="s">
        <v>49</v>
      </c>
      <c r="I345" s="2" t="s">
        <v>25</v>
      </c>
      <c r="J345" s="2" t="s">
        <v>71</v>
      </c>
      <c r="K345" s="3" t="n">
        <v>46060</v>
      </c>
      <c r="L345" s="2" t="s">
        <v>86</v>
      </c>
    </row>
    <row r="346" customFormat="false" ht="12.75" hidden="false" customHeight="false" outlineLevel="0" collapsed="false">
      <c r="A346" s="2" t="s">
        <v>459</v>
      </c>
      <c r="B346" s="3" t="n">
        <v>46029</v>
      </c>
      <c r="C346" s="2" t="s">
        <v>43</v>
      </c>
      <c r="D346" s="2" t="s">
        <v>23</v>
      </c>
      <c r="E346" s="2" t="s">
        <v>15</v>
      </c>
      <c r="F346" s="2" t="s">
        <v>16</v>
      </c>
      <c r="G346" s="2" t="s">
        <v>17</v>
      </c>
      <c r="H346" s="2" t="s">
        <v>93</v>
      </c>
      <c r="I346" s="2"/>
      <c r="J346" s="2" t="s">
        <v>111</v>
      </c>
      <c r="K346" s="2"/>
      <c r="L346" s="2" t="s">
        <v>78</v>
      </c>
    </row>
    <row r="347" customFormat="false" ht="12.75" hidden="false" customHeight="false" outlineLevel="0" collapsed="false">
      <c r="A347" s="2" t="s">
        <v>460</v>
      </c>
      <c r="B347" s="3" t="n">
        <v>46091</v>
      </c>
      <c r="C347" s="2" t="s">
        <v>28</v>
      </c>
      <c r="D347" s="2" t="s">
        <v>100</v>
      </c>
      <c r="E347" s="2" t="s">
        <v>15</v>
      </c>
      <c r="F347" s="2" t="s">
        <v>38</v>
      </c>
      <c r="G347" s="2" t="s">
        <v>39</v>
      </c>
      <c r="H347" s="2" t="s">
        <v>49</v>
      </c>
      <c r="I347" s="2" t="s">
        <v>19</v>
      </c>
      <c r="J347" s="2" t="s">
        <v>58</v>
      </c>
      <c r="K347" s="2"/>
      <c r="L347" s="2" t="s">
        <v>41</v>
      </c>
    </row>
    <row r="348" customFormat="false" ht="12.75" hidden="false" customHeight="false" outlineLevel="0" collapsed="false">
      <c r="A348" s="2" t="s">
        <v>461</v>
      </c>
      <c r="B348" s="3" t="n">
        <v>46062</v>
      </c>
      <c r="C348" s="2" t="s">
        <v>22</v>
      </c>
      <c r="D348" s="2" t="s">
        <v>100</v>
      </c>
      <c r="E348" s="2" t="s">
        <v>15</v>
      </c>
      <c r="F348" s="2" t="s">
        <v>16</v>
      </c>
      <c r="G348" s="2" t="s">
        <v>17</v>
      </c>
      <c r="H348" s="2" t="s">
        <v>49</v>
      </c>
      <c r="I348" s="2" t="s">
        <v>40</v>
      </c>
      <c r="J348" s="2" t="s">
        <v>20</v>
      </c>
      <c r="K348" s="3" t="n">
        <v>46082</v>
      </c>
      <c r="L348" s="2" t="s">
        <v>114</v>
      </c>
    </row>
    <row r="349" customFormat="false" ht="12.75" hidden="false" customHeight="false" outlineLevel="0" collapsed="false">
      <c r="A349" s="2" t="s">
        <v>462</v>
      </c>
      <c r="B349" s="3" t="n">
        <v>46152</v>
      </c>
      <c r="C349" s="2" t="s">
        <v>13</v>
      </c>
      <c r="D349" s="2" t="s">
        <v>157</v>
      </c>
      <c r="E349" s="2" t="s">
        <v>37</v>
      </c>
      <c r="F349" s="2" t="s">
        <v>48</v>
      </c>
      <c r="G349" s="2" t="s">
        <v>17</v>
      </c>
      <c r="H349" s="2" t="s">
        <v>49</v>
      </c>
      <c r="I349" s="2" t="s">
        <v>40</v>
      </c>
      <c r="J349" s="2" t="s">
        <v>20</v>
      </c>
      <c r="K349" s="3" t="n">
        <v>46162</v>
      </c>
      <c r="L349" s="2" t="s">
        <v>59</v>
      </c>
    </row>
    <row r="350" customFormat="false" ht="12.75" hidden="false" customHeight="false" outlineLevel="0" collapsed="false">
      <c r="A350" s="2" t="s">
        <v>463</v>
      </c>
      <c r="B350" s="3" t="n">
        <v>46090</v>
      </c>
      <c r="C350" s="2" t="s">
        <v>28</v>
      </c>
      <c r="D350" s="2" t="s">
        <v>100</v>
      </c>
      <c r="E350" s="2" t="s">
        <v>37</v>
      </c>
      <c r="F350" s="2" t="s">
        <v>24</v>
      </c>
      <c r="G350" s="2" t="s">
        <v>17</v>
      </c>
      <c r="H350" s="2" t="s">
        <v>18</v>
      </c>
      <c r="I350" s="2" t="s">
        <v>53</v>
      </c>
      <c r="J350" s="2" t="s">
        <v>108</v>
      </c>
      <c r="K350" s="2"/>
      <c r="L350" s="2" t="s">
        <v>72</v>
      </c>
    </row>
    <row r="351" customFormat="false" ht="12.75" hidden="false" customHeight="false" outlineLevel="0" collapsed="false">
      <c r="A351" s="2" t="s">
        <v>464</v>
      </c>
      <c r="B351" s="3" t="n">
        <v>46051</v>
      </c>
      <c r="C351" s="2" t="s">
        <v>61</v>
      </c>
      <c r="D351" s="2" t="s">
        <v>92</v>
      </c>
      <c r="E351" s="2" t="s">
        <v>29</v>
      </c>
      <c r="F351" s="2" t="s">
        <v>30</v>
      </c>
      <c r="G351" s="2" t="s">
        <v>17</v>
      </c>
      <c r="H351" s="2" t="s">
        <v>18</v>
      </c>
      <c r="I351" s="2" t="s">
        <v>19</v>
      </c>
      <c r="J351" s="2" t="s">
        <v>31</v>
      </c>
      <c r="K351" s="3" t="n">
        <v>46052</v>
      </c>
      <c r="L351" s="2" t="s">
        <v>32</v>
      </c>
    </row>
    <row r="352" customFormat="false" ht="12.75" hidden="false" customHeight="false" outlineLevel="0" collapsed="false">
      <c r="A352" s="2" t="s">
        <v>465</v>
      </c>
      <c r="B352" s="3" t="n">
        <v>46050</v>
      </c>
      <c r="C352" s="2" t="s">
        <v>205</v>
      </c>
      <c r="D352" s="2" t="s">
        <v>154</v>
      </c>
      <c r="E352" s="2" t="s">
        <v>52</v>
      </c>
      <c r="F352" s="2" t="s">
        <v>48</v>
      </c>
      <c r="G352" s="2" t="s">
        <v>17</v>
      </c>
      <c r="H352" s="2" t="s">
        <v>49</v>
      </c>
      <c r="I352" s="2" t="s">
        <v>40</v>
      </c>
      <c r="J352" s="2" t="s">
        <v>20</v>
      </c>
      <c r="K352" s="3" t="n">
        <v>46046</v>
      </c>
      <c r="L352" s="2" t="s">
        <v>54</v>
      </c>
    </row>
    <row r="353" customFormat="false" ht="12.75" hidden="false" customHeight="false" outlineLevel="0" collapsed="false">
      <c r="A353" s="2" t="s">
        <v>466</v>
      </c>
      <c r="B353" s="3" t="n">
        <v>46043</v>
      </c>
      <c r="C353" s="2" t="s">
        <v>13</v>
      </c>
      <c r="D353" s="2" t="s">
        <v>62</v>
      </c>
      <c r="E353" s="2" t="s">
        <v>15</v>
      </c>
      <c r="F353" s="2" t="s">
        <v>16</v>
      </c>
      <c r="G353" s="2" t="s">
        <v>17</v>
      </c>
      <c r="H353" s="2" t="s">
        <v>18</v>
      </c>
      <c r="I353" s="2" t="s">
        <v>40</v>
      </c>
      <c r="J353" s="2" t="s">
        <v>31</v>
      </c>
      <c r="K353" s="3" t="n">
        <v>46060</v>
      </c>
      <c r="L353" s="2" t="s">
        <v>63</v>
      </c>
    </row>
    <row r="354" customFormat="false" ht="12.75" hidden="false" customHeight="false" outlineLevel="0" collapsed="false">
      <c r="A354" s="2" t="s">
        <v>467</v>
      </c>
      <c r="B354" s="3" t="n">
        <v>46209</v>
      </c>
      <c r="C354" s="2" t="s">
        <v>35</v>
      </c>
      <c r="D354" s="2" t="s">
        <v>47</v>
      </c>
      <c r="E354" s="2" t="s">
        <v>52</v>
      </c>
      <c r="F354" s="2" t="s">
        <v>24</v>
      </c>
      <c r="G354" s="2" t="s">
        <v>17</v>
      </c>
      <c r="H354" s="2" t="s">
        <v>49</v>
      </c>
      <c r="I354" s="2" t="s">
        <v>25</v>
      </c>
      <c r="J354" s="2" t="s">
        <v>20</v>
      </c>
      <c r="K354" s="3" t="n">
        <v>46226</v>
      </c>
      <c r="L354" s="2" t="s">
        <v>54</v>
      </c>
    </row>
    <row r="355" customFormat="false" ht="12.75" hidden="false" customHeight="false" outlineLevel="0" collapsed="false">
      <c r="A355" s="2" t="s">
        <v>468</v>
      </c>
      <c r="B355" s="3" t="n">
        <v>46211</v>
      </c>
      <c r="C355" s="2" t="s">
        <v>35</v>
      </c>
      <c r="D355" s="2" t="s">
        <v>56</v>
      </c>
      <c r="E355" s="2" t="s">
        <v>66</v>
      </c>
      <c r="F355" s="2" t="s">
        <v>38</v>
      </c>
      <c r="G355" s="2"/>
      <c r="H355" s="2" t="s">
        <v>18</v>
      </c>
      <c r="I355" s="2" t="s">
        <v>53</v>
      </c>
      <c r="J355" s="2" t="s">
        <v>20</v>
      </c>
      <c r="K355" s="3" t="n">
        <v>46232</v>
      </c>
      <c r="L355" s="2" t="s">
        <v>41</v>
      </c>
    </row>
    <row r="356" customFormat="false" ht="12.75" hidden="false" customHeight="false" outlineLevel="0" collapsed="false">
      <c r="A356" s="2" t="s">
        <v>469</v>
      </c>
      <c r="B356" s="3" t="n">
        <v>46087</v>
      </c>
      <c r="C356" s="2" t="s">
        <v>28</v>
      </c>
      <c r="D356" s="2" t="s">
        <v>100</v>
      </c>
      <c r="E356" s="2" t="s">
        <v>66</v>
      </c>
      <c r="F356" s="2" t="s">
        <v>24</v>
      </c>
      <c r="G356" s="2" t="s">
        <v>17</v>
      </c>
      <c r="H356" s="2" t="s">
        <v>18</v>
      </c>
      <c r="I356" s="2" t="s">
        <v>25</v>
      </c>
      <c r="J356" s="2" t="s">
        <v>20</v>
      </c>
      <c r="K356" s="3" t="n">
        <v>46108</v>
      </c>
      <c r="L356" s="2" t="s">
        <v>86</v>
      </c>
    </row>
    <row r="357" customFormat="false" ht="12.75" hidden="false" customHeight="false" outlineLevel="0" collapsed="false">
      <c r="A357" s="2" t="s">
        <v>470</v>
      </c>
      <c r="B357" s="3" t="n">
        <v>46165</v>
      </c>
      <c r="C357" s="2" t="s">
        <v>192</v>
      </c>
      <c r="D357" s="2" t="s">
        <v>70</v>
      </c>
      <c r="E357" s="2" t="s">
        <v>37</v>
      </c>
      <c r="F357" s="2" t="s">
        <v>48</v>
      </c>
      <c r="G357" s="2" t="s">
        <v>17</v>
      </c>
      <c r="H357" s="2" t="s">
        <v>49</v>
      </c>
      <c r="I357" s="2" t="s">
        <v>40</v>
      </c>
      <c r="J357" s="2" t="s">
        <v>20</v>
      </c>
      <c r="K357" s="3" t="n">
        <v>46175</v>
      </c>
      <c r="L357" s="2" t="s">
        <v>144</v>
      </c>
    </row>
    <row r="358" customFormat="false" ht="12.75" hidden="false" customHeight="false" outlineLevel="0" collapsed="false">
      <c r="A358" s="2" t="s">
        <v>471</v>
      </c>
      <c r="B358" s="3" t="n">
        <v>46061</v>
      </c>
      <c r="C358" s="2" t="s">
        <v>138</v>
      </c>
      <c r="D358" s="2" t="s">
        <v>14</v>
      </c>
      <c r="E358" s="2" t="s">
        <v>15</v>
      </c>
      <c r="F358" s="2" t="s">
        <v>48</v>
      </c>
      <c r="G358" s="2" t="s">
        <v>17</v>
      </c>
      <c r="H358" s="2" t="s">
        <v>80</v>
      </c>
      <c r="I358" s="2" t="s">
        <v>40</v>
      </c>
      <c r="J358" s="2" t="s">
        <v>20</v>
      </c>
      <c r="K358" s="3" t="n">
        <v>46083</v>
      </c>
      <c r="L358" s="2" t="s">
        <v>26</v>
      </c>
    </row>
    <row r="359" customFormat="false" ht="12.75" hidden="false" customHeight="false" outlineLevel="0" collapsed="false">
      <c r="A359" s="2" t="s">
        <v>472</v>
      </c>
      <c r="B359" s="3" t="n">
        <v>46154</v>
      </c>
      <c r="C359" s="2" t="s">
        <v>13</v>
      </c>
      <c r="D359" s="2" t="s">
        <v>100</v>
      </c>
      <c r="E359" s="2" t="s">
        <v>66</v>
      </c>
      <c r="F359" s="2" t="s">
        <v>24</v>
      </c>
      <c r="G359" s="2" t="s">
        <v>17</v>
      </c>
      <c r="H359" s="2" t="s">
        <v>18</v>
      </c>
      <c r="I359" s="2" t="s">
        <v>40</v>
      </c>
      <c r="J359" s="2" t="s">
        <v>20</v>
      </c>
      <c r="K359" s="3" t="n">
        <v>46164</v>
      </c>
      <c r="L359" s="2" t="s">
        <v>67</v>
      </c>
    </row>
    <row r="360" customFormat="false" ht="12.75" hidden="false" customHeight="false" outlineLevel="0" collapsed="false">
      <c r="A360" s="2" t="s">
        <v>473</v>
      </c>
      <c r="B360" s="3" t="n">
        <v>46163</v>
      </c>
      <c r="C360" s="2" t="s">
        <v>35</v>
      </c>
      <c r="D360" s="2" t="s">
        <v>100</v>
      </c>
      <c r="E360" s="2" t="s">
        <v>37</v>
      </c>
      <c r="F360" s="2" t="s">
        <v>48</v>
      </c>
      <c r="G360" s="2" t="s">
        <v>17</v>
      </c>
      <c r="H360" s="2" t="s">
        <v>18</v>
      </c>
      <c r="I360" s="2" t="s">
        <v>25</v>
      </c>
      <c r="J360" s="2" t="s">
        <v>20</v>
      </c>
      <c r="K360" s="3" t="n">
        <v>46178</v>
      </c>
      <c r="L360" s="2" t="s">
        <v>72</v>
      </c>
    </row>
    <row r="361" customFormat="false" ht="12.75" hidden="false" customHeight="false" outlineLevel="0" collapsed="false">
      <c r="A361" s="2" t="s">
        <v>474</v>
      </c>
      <c r="B361" s="3" t="n">
        <v>46109</v>
      </c>
      <c r="C361" s="2" t="s">
        <v>35</v>
      </c>
      <c r="D361" s="2" t="s">
        <v>23</v>
      </c>
      <c r="E361" s="2" t="s">
        <v>15</v>
      </c>
      <c r="F361" s="2" t="s">
        <v>48</v>
      </c>
      <c r="G361" s="2" t="s">
        <v>17</v>
      </c>
      <c r="H361" s="2" t="s">
        <v>49</v>
      </c>
      <c r="I361" s="2" t="s">
        <v>19</v>
      </c>
      <c r="J361" s="2" t="s">
        <v>58</v>
      </c>
      <c r="K361" s="2"/>
      <c r="L361" s="2" t="s">
        <v>78</v>
      </c>
    </row>
    <row r="362" customFormat="false" ht="12.75" hidden="false" customHeight="false" outlineLevel="0" collapsed="false">
      <c r="A362" s="2" t="s">
        <v>475</v>
      </c>
      <c r="B362" s="3" t="n">
        <v>46057</v>
      </c>
      <c r="C362" s="2" t="s">
        <v>22</v>
      </c>
      <c r="D362" s="2" t="s">
        <v>70</v>
      </c>
      <c r="E362" s="2" t="s">
        <v>52</v>
      </c>
      <c r="F362" s="2" t="s">
        <v>48</v>
      </c>
      <c r="G362" s="2" t="s">
        <v>17</v>
      </c>
      <c r="H362" s="2" t="s">
        <v>18</v>
      </c>
      <c r="I362" s="2" t="s">
        <v>19</v>
      </c>
      <c r="J362" s="2" t="s">
        <v>20</v>
      </c>
      <c r="K362" s="3" t="n">
        <v>46066</v>
      </c>
      <c r="L362" s="2" t="s">
        <v>88</v>
      </c>
    </row>
    <row r="363" customFormat="false" ht="12.75" hidden="false" customHeight="false" outlineLevel="0" collapsed="false">
      <c r="A363" s="2" t="s">
        <v>476</v>
      </c>
      <c r="B363" s="3" t="n">
        <v>46078</v>
      </c>
      <c r="C363" s="2" t="s">
        <v>22</v>
      </c>
      <c r="D363" s="2" t="s">
        <v>14</v>
      </c>
      <c r="E363" s="2" t="s">
        <v>29</v>
      </c>
      <c r="F363" s="2" t="s">
        <v>24</v>
      </c>
      <c r="G363" s="2" t="s">
        <v>17</v>
      </c>
      <c r="H363" s="2" t="s">
        <v>18</v>
      </c>
      <c r="I363" s="2" t="s">
        <v>53</v>
      </c>
      <c r="J363" s="2" t="s">
        <v>20</v>
      </c>
      <c r="K363" s="3" t="n">
        <v>46082</v>
      </c>
      <c r="L363" s="2" t="s">
        <v>45</v>
      </c>
    </row>
    <row r="364" customFormat="false" ht="12.75" hidden="false" customHeight="false" outlineLevel="0" collapsed="false">
      <c r="A364" s="2" t="s">
        <v>477</v>
      </c>
      <c r="B364" s="3" t="n">
        <v>46055</v>
      </c>
      <c r="C364" s="2" t="s">
        <v>131</v>
      </c>
      <c r="D364" s="2" t="s">
        <v>70</v>
      </c>
      <c r="E364" s="2" t="s">
        <v>66</v>
      </c>
      <c r="F364" s="2" t="s">
        <v>38</v>
      </c>
      <c r="G364" s="2" t="s">
        <v>39</v>
      </c>
      <c r="H364" s="2" t="s">
        <v>49</v>
      </c>
      <c r="I364" s="2" t="s">
        <v>53</v>
      </c>
      <c r="J364" s="2" t="s">
        <v>20</v>
      </c>
      <c r="K364" s="3" t="n">
        <v>46049</v>
      </c>
      <c r="L364" s="2" t="s">
        <v>41</v>
      </c>
    </row>
    <row r="365" customFormat="false" ht="12.75" hidden="false" customHeight="false" outlineLevel="0" collapsed="false">
      <c r="A365" s="2" t="s">
        <v>478</v>
      </c>
      <c r="B365" s="3" t="n">
        <v>46165</v>
      </c>
      <c r="C365" s="2" t="s">
        <v>22</v>
      </c>
      <c r="D365" s="2" t="s">
        <v>203</v>
      </c>
      <c r="E365" s="2" t="s">
        <v>52</v>
      </c>
      <c r="F365" s="2" t="s">
        <v>48</v>
      </c>
      <c r="G365" s="2" t="s">
        <v>17</v>
      </c>
      <c r="H365" s="2" t="s">
        <v>18</v>
      </c>
      <c r="I365" s="2" t="s">
        <v>25</v>
      </c>
      <c r="J365" s="2" t="s">
        <v>106</v>
      </c>
      <c r="K365" s="2"/>
      <c r="L365" s="2" t="s">
        <v>54</v>
      </c>
    </row>
    <row r="366" customFormat="false" ht="12.75" hidden="false" customHeight="false" outlineLevel="0" collapsed="false">
      <c r="A366" s="2" t="s">
        <v>479</v>
      </c>
      <c r="B366" s="3" t="n">
        <v>46147</v>
      </c>
      <c r="C366" s="2" t="s">
        <v>164</v>
      </c>
      <c r="D366" s="2" t="s">
        <v>70</v>
      </c>
      <c r="E366" s="2" t="s">
        <v>15</v>
      </c>
      <c r="F366" s="2" t="s">
        <v>24</v>
      </c>
      <c r="G366" s="2" t="s">
        <v>17</v>
      </c>
      <c r="H366" s="2" t="s">
        <v>49</v>
      </c>
      <c r="I366" s="2" t="s">
        <v>53</v>
      </c>
      <c r="J366" s="2" t="s">
        <v>83</v>
      </c>
      <c r="K366" s="2"/>
      <c r="L366" s="2" t="s">
        <v>26</v>
      </c>
    </row>
    <row r="367" customFormat="false" ht="12.75" hidden="false" customHeight="false" outlineLevel="0" collapsed="false">
      <c r="A367" s="2" t="s">
        <v>480</v>
      </c>
      <c r="B367" s="3" t="n">
        <v>46198</v>
      </c>
      <c r="C367" s="2" t="s">
        <v>43</v>
      </c>
      <c r="D367" s="2" t="s">
        <v>100</v>
      </c>
      <c r="E367" s="2" t="s">
        <v>15</v>
      </c>
      <c r="F367" s="2" t="s">
        <v>24</v>
      </c>
      <c r="G367" s="2" t="s">
        <v>17</v>
      </c>
      <c r="H367" s="2" t="s">
        <v>77</v>
      </c>
      <c r="I367" s="2" t="s">
        <v>40</v>
      </c>
      <c r="J367" s="2" t="s">
        <v>134</v>
      </c>
      <c r="K367" s="3" t="n">
        <v>46215</v>
      </c>
      <c r="L367" s="2" t="s">
        <v>78</v>
      </c>
    </row>
    <row r="368" customFormat="false" ht="12.75" hidden="false" customHeight="false" outlineLevel="0" collapsed="false">
      <c r="A368" s="2" t="s">
        <v>481</v>
      </c>
      <c r="B368" s="3" t="n">
        <v>46055</v>
      </c>
      <c r="C368" s="2" t="s">
        <v>22</v>
      </c>
      <c r="D368" s="2" t="s">
        <v>51</v>
      </c>
      <c r="E368" s="2" t="s">
        <v>37</v>
      </c>
      <c r="F368" s="2" t="s">
        <v>24</v>
      </c>
      <c r="G368" s="2" t="s">
        <v>17</v>
      </c>
      <c r="H368" s="2" t="s">
        <v>18</v>
      </c>
      <c r="I368" s="2" t="s">
        <v>19</v>
      </c>
      <c r="J368" s="2" t="s">
        <v>31</v>
      </c>
      <c r="K368" s="3" t="n">
        <v>46056</v>
      </c>
      <c r="L368" s="2" t="s">
        <v>59</v>
      </c>
    </row>
    <row r="369" customFormat="false" ht="12.75" hidden="false" customHeight="false" outlineLevel="0" collapsed="false">
      <c r="A369" s="2" t="s">
        <v>482</v>
      </c>
      <c r="B369" s="3" t="n">
        <v>46057</v>
      </c>
      <c r="C369" s="2" t="s">
        <v>35</v>
      </c>
      <c r="D369" s="2" t="s">
        <v>56</v>
      </c>
      <c r="E369" s="2" t="s">
        <v>15</v>
      </c>
      <c r="F369" s="2" t="s">
        <v>38</v>
      </c>
      <c r="G369" s="2" t="s">
        <v>39</v>
      </c>
      <c r="H369" s="2" t="s">
        <v>18</v>
      </c>
      <c r="I369" s="2" t="s">
        <v>25</v>
      </c>
      <c r="J369" s="2" t="s">
        <v>31</v>
      </c>
      <c r="K369" s="3" t="n">
        <v>46075</v>
      </c>
      <c r="L369" s="2" t="s">
        <v>41</v>
      </c>
    </row>
    <row r="370" customFormat="false" ht="12.75" hidden="false" customHeight="false" outlineLevel="0" collapsed="false">
      <c r="A370" s="2" t="s">
        <v>483</v>
      </c>
      <c r="B370" s="3" t="n">
        <v>46141</v>
      </c>
      <c r="C370" s="2" t="s">
        <v>35</v>
      </c>
      <c r="D370" s="2" t="s">
        <v>56</v>
      </c>
      <c r="E370" s="2" t="s">
        <v>29</v>
      </c>
      <c r="F370" s="2" t="s">
        <v>24</v>
      </c>
      <c r="G370" s="2" t="s">
        <v>17</v>
      </c>
      <c r="H370" s="2" t="s">
        <v>49</v>
      </c>
      <c r="I370" s="2" t="s">
        <v>53</v>
      </c>
      <c r="J370" s="2" t="s">
        <v>20</v>
      </c>
      <c r="K370" s="3" t="n">
        <v>46147</v>
      </c>
      <c r="L370" s="2" t="s">
        <v>45</v>
      </c>
    </row>
    <row r="371" customFormat="false" ht="12.75" hidden="false" customHeight="false" outlineLevel="0" collapsed="false">
      <c r="A371" s="2" t="s">
        <v>484</v>
      </c>
      <c r="B371" s="3" t="n">
        <v>46214</v>
      </c>
      <c r="C371" s="2" t="s">
        <v>43</v>
      </c>
      <c r="D371" s="2" t="s">
        <v>203</v>
      </c>
      <c r="E371" s="2" t="s">
        <v>29</v>
      </c>
      <c r="F371" s="2" t="s">
        <v>48</v>
      </c>
      <c r="G371" s="2" t="s">
        <v>17</v>
      </c>
      <c r="H371" s="2" t="s">
        <v>18</v>
      </c>
      <c r="I371" s="2" t="s">
        <v>53</v>
      </c>
      <c r="J371" s="2" t="s">
        <v>58</v>
      </c>
      <c r="K371" s="2"/>
      <c r="L371" s="2" t="s">
        <v>104</v>
      </c>
    </row>
    <row r="372" customFormat="false" ht="12.75" hidden="false" customHeight="false" outlineLevel="0" collapsed="false">
      <c r="A372" s="2" t="s">
        <v>485</v>
      </c>
      <c r="B372" s="3" t="n">
        <v>46072</v>
      </c>
      <c r="C372" s="2" t="s">
        <v>13</v>
      </c>
      <c r="D372" s="2" t="s">
        <v>203</v>
      </c>
      <c r="E372" s="2" t="s">
        <v>52</v>
      </c>
      <c r="F372" s="2" t="s">
        <v>38</v>
      </c>
      <c r="G372" s="2" t="s">
        <v>39</v>
      </c>
      <c r="H372" s="2" t="s">
        <v>49</v>
      </c>
      <c r="I372" s="2"/>
      <c r="J372" s="2" t="s">
        <v>71</v>
      </c>
      <c r="K372" s="3" t="n">
        <v>46089</v>
      </c>
      <c r="L372" s="2" t="s">
        <v>41</v>
      </c>
    </row>
    <row r="373" customFormat="false" ht="12.75" hidden="false" customHeight="false" outlineLevel="0" collapsed="false">
      <c r="A373" s="2" t="s">
        <v>486</v>
      </c>
      <c r="B373" s="3" t="n">
        <v>46055</v>
      </c>
      <c r="C373" s="2" t="s">
        <v>35</v>
      </c>
      <c r="D373" s="2" t="s">
        <v>56</v>
      </c>
      <c r="E373" s="2" t="s">
        <v>29</v>
      </c>
      <c r="F373" s="2" t="s">
        <v>16</v>
      </c>
      <c r="G373" s="2" t="s">
        <v>17</v>
      </c>
      <c r="H373" s="2" t="s">
        <v>18</v>
      </c>
      <c r="I373" s="2" t="s">
        <v>25</v>
      </c>
      <c r="J373" s="2" t="s">
        <v>58</v>
      </c>
      <c r="K373" s="2"/>
      <c r="L373" s="2" t="s">
        <v>45</v>
      </c>
    </row>
    <row r="374" customFormat="false" ht="12.75" hidden="false" customHeight="false" outlineLevel="0" collapsed="false">
      <c r="A374" s="2" t="s">
        <v>487</v>
      </c>
      <c r="B374" s="3" t="n">
        <v>46032</v>
      </c>
      <c r="C374" s="2" t="s">
        <v>22</v>
      </c>
      <c r="D374" s="2" t="s">
        <v>56</v>
      </c>
      <c r="E374" s="2" t="s">
        <v>52</v>
      </c>
      <c r="F374" s="2" t="s">
        <v>16</v>
      </c>
      <c r="G374" s="2" t="s">
        <v>17</v>
      </c>
      <c r="H374" s="2" t="s">
        <v>18</v>
      </c>
      <c r="I374" s="2" t="s">
        <v>53</v>
      </c>
      <c r="J374" s="2" t="s">
        <v>71</v>
      </c>
      <c r="K374" s="3" t="n">
        <v>46034</v>
      </c>
      <c r="L374" s="2" t="s">
        <v>95</v>
      </c>
    </row>
    <row r="375" customFormat="false" ht="12.75" hidden="false" customHeight="false" outlineLevel="0" collapsed="false">
      <c r="A375" s="2" t="s">
        <v>488</v>
      </c>
      <c r="B375" s="3" t="n">
        <v>46027</v>
      </c>
      <c r="C375" s="2" t="s">
        <v>35</v>
      </c>
      <c r="D375" s="2" t="s">
        <v>51</v>
      </c>
      <c r="E375" s="2" t="s">
        <v>37</v>
      </c>
      <c r="F375" s="2" t="s">
        <v>30</v>
      </c>
      <c r="G375" s="2" t="s">
        <v>17</v>
      </c>
      <c r="H375" s="2" t="s">
        <v>150</v>
      </c>
      <c r="I375" s="2" t="s">
        <v>19</v>
      </c>
      <c r="J375" s="2" t="s">
        <v>20</v>
      </c>
      <c r="K375" s="3" t="n">
        <v>46043</v>
      </c>
      <c r="L375" s="2" t="s">
        <v>59</v>
      </c>
    </row>
    <row r="376" customFormat="false" ht="12.75" hidden="false" customHeight="false" outlineLevel="0" collapsed="false">
      <c r="A376" s="2" t="s">
        <v>489</v>
      </c>
      <c r="B376" s="3" t="n">
        <v>46188</v>
      </c>
      <c r="C376" s="2" t="s">
        <v>103</v>
      </c>
      <c r="D376" s="2" t="s">
        <v>51</v>
      </c>
      <c r="E376" s="2" t="s">
        <v>15</v>
      </c>
      <c r="F376" s="2" t="s">
        <v>38</v>
      </c>
      <c r="G376" s="2" t="s">
        <v>39</v>
      </c>
      <c r="H376" s="2" t="s">
        <v>18</v>
      </c>
      <c r="I376" s="2" t="s">
        <v>53</v>
      </c>
      <c r="J376" s="2" t="s">
        <v>20</v>
      </c>
      <c r="K376" s="3" t="n">
        <v>46189</v>
      </c>
      <c r="L376" s="2" t="s">
        <v>41</v>
      </c>
    </row>
    <row r="377" customFormat="false" ht="12.75" hidden="false" customHeight="false" outlineLevel="0" collapsed="false">
      <c r="A377" s="2" t="s">
        <v>490</v>
      </c>
      <c r="B377" s="3" t="n">
        <v>46071</v>
      </c>
      <c r="C377" s="2" t="s">
        <v>61</v>
      </c>
      <c r="D377" s="2" t="s">
        <v>56</v>
      </c>
      <c r="E377" s="2" t="s">
        <v>52</v>
      </c>
      <c r="F377" s="2" t="s">
        <v>24</v>
      </c>
      <c r="G377" s="2" t="s">
        <v>17</v>
      </c>
      <c r="H377" s="2" t="s">
        <v>179</v>
      </c>
      <c r="I377" s="2" t="s">
        <v>25</v>
      </c>
      <c r="J377" s="2" t="s">
        <v>20</v>
      </c>
      <c r="K377" s="3" t="n">
        <v>46076</v>
      </c>
      <c r="L377" s="2" t="s">
        <v>97</v>
      </c>
    </row>
    <row r="378" customFormat="false" ht="12.75" hidden="false" customHeight="false" outlineLevel="0" collapsed="false">
      <c r="A378" s="2" t="s">
        <v>491</v>
      </c>
      <c r="B378" s="3" t="n">
        <v>46096</v>
      </c>
      <c r="C378" s="2" t="s">
        <v>13</v>
      </c>
      <c r="D378" s="2" t="s">
        <v>92</v>
      </c>
      <c r="E378" s="2" t="s">
        <v>29</v>
      </c>
      <c r="F378" s="2" t="s">
        <v>48</v>
      </c>
      <c r="G378" s="2" t="s">
        <v>17</v>
      </c>
      <c r="H378" s="2" t="s">
        <v>49</v>
      </c>
      <c r="I378" s="2" t="s">
        <v>19</v>
      </c>
      <c r="J378" s="2" t="s">
        <v>58</v>
      </c>
      <c r="K378" s="2"/>
      <c r="L378" s="2" t="s">
        <v>32</v>
      </c>
    </row>
    <row r="379" customFormat="false" ht="12.75" hidden="false" customHeight="false" outlineLevel="0" collapsed="false">
      <c r="A379" s="2" t="s">
        <v>492</v>
      </c>
      <c r="B379" s="3" t="n">
        <v>46157</v>
      </c>
      <c r="C379" s="2" t="s">
        <v>123</v>
      </c>
      <c r="D379" s="2" t="s">
        <v>51</v>
      </c>
      <c r="E379" s="2" t="s">
        <v>15</v>
      </c>
      <c r="F379" s="2" t="s">
        <v>24</v>
      </c>
      <c r="G379" s="2" t="s">
        <v>17</v>
      </c>
      <c r="H379" s="2" t="s">
        <v>49</v>
      </c>
      <c r="I379" s="2" t="s">
        <v>53</v>
      </c>
      <c r="J379" s="2" t="s">
        <v>106</v>
      </c>
      <c r="K379" s="2"/>
      <c r="L379" s="2" t="s">
        <v>26</v>
      </c>
    </row>
    <row r="380" customFormat="false" ht="12.75" hidden="false" customHeight="false" outlineLevel="0" collapsed="false">
      <c r="A380" s="2" t="s">
        <v>493</v>
      </c>
      <c r="B380" s="3" t="n">
        <v>46225</v>
      </c>
      <c r="C380" s="2" t="s">
        <v>43</v>
      </c>
      <c r="D380" s="2" t="s">
        <v>36</v>
      </c>
      <c r="E380" s="2" t="s">
        <v>29</v>
      </c>
      <c r="F380" s="2" t="s">
        <v>16</v>
      </c>
      <c r="G380" s="2" t="s">
        <v>17</v>
      </c>
      <c r="H380" s="2" t="s">
        <v>93</v>
      </c>
      <c r="I380" s="2" t="s">
        <v>40</v>
      </c>
      <c r="J380" s="2" t="s">
        <v>20</v>
      </c>
      <c r="K380" s="3" t="n">
        <v>46234</v>
      </c>
      <c r="L380" s="2" t="s">
        <v>45</v>
      </c>
    </row>
    <row r="381" customFormat="false" ht="12.75" hidden="false" customHeight="false" outlineLevel="0" collapsed="false">
      <c r="A381" s="2" t="s">
        <v>494</v>
      </c>
      <c r="B381" s="3" t="n">
        <v>46029</v>
      </c>
      <c r="C381" s="2" t="s">
        <v>13</v>
      </c>
      <c r="D381" s="2" t="s">
        <v>266</v>
      </c>
      <c r="E381" s="2" t="s">
        <v>29</v>
      </c>
      <c r="F381" s="2" t="s">
        <v>24</v>
      </c>
      <c r="G381" s="2" t="s">
        <v>17</v>
      </c>
      <c r="H381" s="2" t="s">
        <v>93</v>
      </c>
      <c r="I381" s="2" t="s">
        <v>53</v>
      </c>
      <c r="J381" s="2" t="s">
        <v>58</v>
      </c>
      <c r="K381" s="2"/>
      <c r="L381" s="2" t="s">
        <v>32</v>
      </c>
    </row>
    <row r="382" customFormat="false" ht="12.75" hidden="false" customHeight="false" outlineLevel="0" collapsed="false">
      <c r="A382" s="2" t="s">
        <v>495</v>
      </c>
      <c r="B382" s="3" t="n">
        <v>46067</v>
      </c>
      <c r="C382" s="2" t="s">
        <v>35</v>
      </c>
      <c r="D382" s="2" t="s">
        <v>23</v>
      </c>
      <c r="E382" s="2" t="s">
        <v>29</v>
      </c>
      <c r="F382" s="2" t="s">
        <v>16</v>
      </c>
      <c r="G382" s="2" t="s">
        <v>17</v>
      </c>
      <c r="H382" s="2" t="s">
        <v>18</v>
      </c>
      <c r="I382" s="2" t="s">
        <v>53</v>
      </c>
      <c r="J382" s="2" t="s">
        <v>20</v>
      </c>
      <c r="K382" s="3" t="n">
        <v>46065</v>
      </c>
      <c r="L382" s="2" t="s">
        <v>32</v>
      </c>
    </row>
    <row r="383" customFormat="false" ht="12.75" hidden="false" customHeight="false" outlineLevel="0" collapsed="false">
      <c r="A383" s="2" t="s">
        <v>496</v>
      </c>
      <c r="B383" s="3" t="n">
        <v>46175</v>
      </c>
      <c r="C383" s="2" t="s">
        <v>138</v>
      </c>
      <c r="D383" s="2" t="s">
        <v>56</v>
      </c>
      <c r="E383" s="2" t="s">
        <v>37</v>
      </c>
      <c r="F383" s="2" t="s">
        <v>30</v>
      </c>
      <c r="G383" s="2" t="s">
        <v>17</v>
      </c>
      <c r="H383" s="2" t="s">
        <v>49</v>
      </c>
      <c r="I383" s="2" t="s">
        <v>40</v>
      </c>
      <c r="J383" s="2" t="s">
        <v>213</v>
      </c>
      <c r="K383" s="2"/>
      <c r="L383" s="2" t="s">
        <v>59</v>
      </c>
    </row>
    <row r="384" customFormat="false" ht="12.75" hidden="false" customHeight="false" outlineLevel="0" collapsed="false">
      <c r="A384" s="2" t="s">
        <v>497</v>
      </c>
      <c r="B384" s="3" t="n">
        <v>46200</v>
      </c>
      <c r="C384" s="2" t="s">
        <v>35</v>
      </c>
      <c r="D384" s="2" t="s">
        <v>70</v>
      </c>
      <c r="E384" s="2" t="s">
        <v>52</v>
      </c>
      <c r="F384" s="2" t="s">
        <v>24</v>
      </c>
      <c r="G384" s="2" t="s">
        <v>17</v>
      </c>
      <c r="H384" s="2" t="s">
        <v>80</v>
      </c>
      <c r="I384" s="2" t="s">
        <v>40</v>
      </c>
      <c r="J384" s="2" t="s">
        <v>213</v>
      </c>
      <c r="K384" s="2"/>
      <c r="L384" s="2" t="s">
        <v>97</v>
      </c>
    </row>
    <row r="385" customFormat="false" ht="12.75" hidden="false" customHeight="false" outlineLevel="0" collapsed="false">
      <c r="A385" s="2" t="s">
        <v>498</v>
      </c>
      <c r="B385" s="3" t="n">
        <v>46109</v>
      </c>
      <c r="C385" s="2" t="s">
        <v>127</v>
      </c>
      <c r="D385" s="2" t="s">
        <v>51</v>
      </c>
      <c r="E385" s="2" t="s">
        <v>15</v>
      </c>
      <c r="F385" s="2" t="s">
        <v>24</v>
      </c>
      <c r="G385" s="2"/>
      <c r="H385" s="2" t="s">
        <v>77</v>
      </c>
      <c r="I385" s="2" t="s">
        <v>19</v>
      </c>
      <c r="J385" s="2" t="s">
        <v>20</v>
      </c>
      <c r="K385" s="3" t="n">
        <v>46102</v>
      </c>
      <c r="L385" s="2" t="s">
        <v>63</v>
      </c>
    </row>
    <row r="386" customFormat="false" ht="12.75" hidden="false" customHeight="false" outlineLevel="0" collapsed="false">
      <c r="A386" s="2" t="s">
        <v>499</v>
      </c>
      <c r="B386" s="3" t="n">
        <v>46045</v>
      </c>
      <c r="C386" s="2" t="s">
        <v>61</v>
      </c>
      <c r="D386" s="2" t="s">
        <v>56</v>
      </c>
      <c r="E386" s="2" t="s">
        <v>29</v>
      </c>
      <c r="F386" s="2" t="s">
        <v>24</v>
      </c>
      <c r="G386" s="2" t="s">
        <v>17</v>
      </c>
      <c r="H386" s="2" t="s">
        <v>49</v>
      </c>
      <c r="I386" s="2" t="s">
        <v>53</v>
      </c>
      <c r="J386" s="2" t="s">
        <v>83</v>
      </c>
      <c r="K386" s="2"/>
      <c r="L386" s="2" t="s">
        <v>104</v>
      </c>
    </row>
    <row r="387" customFormat="false" ht="12.75" hidden="false" customHeight="false" outlineLevel="0" collapsed="false">
      <c r="A387" s="2" t="s">
        <v>500</v>
      </c>
      <c r="B387" s="3" t="n">
        <v>46067</v>
      </c>
      <c r="C387" s="2" t="s">
        <v>192</v>
      </c>
      <c r="D387" s="2" t="s">
        <v>14</v>
      </c>
      <c r="E387" s="2" t="s">
        <v>66</v>
      </c>
      <c r="F387" s="2" t="s">
        <v>48</v>
      </c>
      <c r="G387" s="2" t="s">
        <v>17</v>
      </c>
      <c r="H387" s="2" t="s">
        <v>18</v>
      </c>
      <c r="I387" s="2" t="s">
        <v>40</v>
      </c>
      <c r="J387" s="2" t="s">
        <v>58</v>
      </c>
      <c r="K387" s="2"/>
      <c r="L387" s="2" t="s">
        <v>86</v>
      </c>
    </row>
    <row r="388" customFormat="false" ht="12.75" hidden="false" customHeight="false" outlineLevel="0" collapsed="false">
      <c r="A388" s="2" t="s">
        <v>501</v>
      </c>
      <c r="B388" s="3" t="n">
        <v>46196</v>
      </c>
      <c r="C388" s="2" t="s">
        <v>202</v>
      </c>
      <c r="D388" s="2" t="s">
        <v>70</v>
      </c>
      <c r="E388" s="2" t="s">
        <v>37</v>
      </c>
      <c r="F388" s="2" t="s">
        <v>16</v>
      </c>
      <c r="G388" s="2" t="s">
        <v>17</v>
      </c>
      <c r="H388" s="2" t="s">
        <v>18</v>
      </c>
      <c r="I388" s="2" t="s">
        <v>53</v>
      </c>
      <c r="J388" s="2" t="s">
        <v>20</v>
      </c>
      <c r="K388" s="3" t="n">
        <v>46214</v>
      </c>
      <c r="L388" s="2" t="s">
        <v>144</v>
      </c>
    </row>
    <row r="389" customFormat="false" ht="12.75" hidden="false" customHeight="false" outlineLevel="0" collapsed="false">
      <c r="A389" s="2" t="s">
        <v>502</v>
      </c>
      <c r="B389" s="3" t="n">
        <v>46125</v>
      </c>
      <c r="C389" s="2" t="s">
        <v>22</v>
      </c>
      <c r="D389" s="2" t="s">
        <v>14</v>
      </c>
      <c r="E389" s="2" t="s">
        <v>66</v>
      </c>
      <c r="F389" s="2" t="s">
        <v>30</v>
      </c>
      <c r="G389" s="2" t="s">
        <v>17</v>
      </c>
      <c r="H389" s="2" t="s">
        <v>18</v>
      </c>
      <c r="I389" s="2" t="s">
        <v>53</v>
      </c>
      <c r="J389" s="2" t="s">
        <v>83</v>
      </c>
      <c r="K389" s="2"/>
      <c r="L389" s="2" t="s">
        <v>136</v>
      </c>
    </row>
    <row r="390" customFormat="false" ht="12.75" hidden="false" customHeight="false" outlineLevel="0" collapsed="false">
      <c r="A390" s="2" t="s">
        <v>503</v>
      </c>
      <c r="B390" s="3" t="n">
        <v>46227</v>
      </c>
      <c r="C390" s="2" t="s">
        <v>205</v>
      </c>
      <c r="D390" s="2" t="s">
        <v>56</v>
      </c>
      <c r="E390" s="2" t="s">
        <v>15</v>
      </c>
      <c r="F390" s="2" t="s">
        <v>48</v>
      </c>
      <c r="G390" s="2" t="s">
        <v>17</v>
      </c>
      <c r="H390" s="2" t="s">
        <v>49</v>
      </c>
      <c r="I390" s="2" t="s">
        <v>40</v>
      </c>
      <c r="J390" s="2" t="s">
        <v>134</v>
      </c>
      <c r="K390" s="3" t="n">
        <v>46247</v>
      </c>
      <c r="L390" s="2" t="s">
        <v>63</v>
      </c>
    </row>
    <row r="391" customFormat="false" ht="12.75" hidden="false" customHeight="false" outlineLevel="0" collapsed="false">
      <c r="A391" s="2" t="s">
        <v>504</v>
      </c>
      <c r="B391" s="3" t="n">
        <v>46122</v>
      </c>
      <c r="C391" s="2" t="s">
        <v>28</v>
      </c>
      <c r="D391" s="2" t="s">
        <v>23</v>
      </c>
      <c r="E391" s="2" t="s">
        <v>37</v>
      </c>
      <c r="F391" s="2" t="s">
        <v>24</v>
      </c>
      <c r="G391" s="2" t="s">
        <v>17</v>
      </c>
      <c r="H391" s="2" t="s">
        <v>49</v>
      </c>
      <c r="I391" s="2" t="s">
        <v>19</v>
      </c>
      <c r="J391" s="2" t="s">
        <v>20</v>
      </c>
      <c r="K391" s="3" t="n">
        <v>46121</v>
      </c>
      <c r="L391" s="2" t="s">
        <v>59</v>
      </c>
    </row>
    <row r="392" customFormat="false" ht="12.75" hidden="false" customHeight="false" outlineLevel="0" collapsed="false">
      <c r="A392" s="2" t="s">
        <v>505</v>
      </c>
      <c r="B392" s="3" t="n">
        <v>46139</v>
      </c>
      <c r="C392" s="2" t="s">
        <v>35</v>
      </c>
      <c r="D392" s="2" t="s">
        <v>159</v>
      </c>
      <c r="E392" s="2" t="s">
        <v>37</v>
      </c>
      <c r="F392" s="2" t="s">
        <v>24</v>
      </c>
      <c r="G392" s="2" t="s">
        <v>17</v>
      </c>
      <c r="H392" s="2" t="s">
        <v>49</v>
      </c>
      <c r="I392" s="2" t="s">
        <v>40</v>
      </c>
      <c r="J392" s="2" t="s">
        <v>83</v>
      </c>
      <c r="K392" s="2"/>
      <c r="L392" s="2" t="s">
        <v>72</v>
      </c>
    </row>
    <row r="393" customFormat="false" ht="12.75" hidden="false" customHeight="false" outlineLevel="0" collapsed="false">
      <c r="A393" s="2" t="s">
        <v>506</v>
      </c>
      <c r="B393" s="3" t="n">
        <v>46112</v>
      </c>
      <c r="C393" s="2" t="s">
        <v>28</v>
      </c>
      <c r="D393" s="2" t="s">
        <v>23</v>
      </c>
      <c r="E393" s="2" t="s">
        <v>66</v>
      </c>
      <c r="F393" s="2" t="s">
        <v>38</v>
      </c>
      <c r="G393" s="2" t="s">
        <v>39</v>
      </c>
      <c r="H393" s="2" t="s">
        <v>150</v>
      </c>
      <c r="I393" s="2"/>
      <c r="J393" s="2" t="s">
        <v>213</v>
      </c>
      <c r="K393" s="2"/>
      <c r="L393" s="2" t="s">
        <v>41</v>
      </c>
    </row>
    <row r="394" customFormat="false" ht="12.75" hidden="false" customHeight="false" outlineLevel="0" collapsed="false">
      <c r="A394" s="2" t="s">
        <v>507</v>
      </c>
      <c r="B394" s="3" t="n">
        <v>46134</v>
      </c>
      <c r="C394" s="2" t="s">
        <v>61</v>
      </c>
      <c r="D394" s="2" t="s">
        <v>23</v>
      </c>
      <c r="E394" s="2" t="s">
        <v>37</v>
      </c>
      <c r="F394" s="2" t="s">
        <v>24</v>
      </c>
      <c r="G394" s="2" t="s">
        <v>17</v>
      </c>
      <c r="H394" s="2" t="s">
        <v>49</v>
      </c>
      <c r="I394" s="2" t="s">
        <v>53</v>
      </c>
      <c r="J394" s="2" t="s">
        <v>71</v>
      </c>
      <c r="K394" s="3" t="n">
        <v>46149</v>
      </c>
      <c r="L394" s="2" t="s">
        <v>59</v>
      </c>
    </row>
    <row r="395" customFormat="false" ht="12.75" hidden="false" customHeight="false" outlineLevel="0" collapsed="false">
      <c r="A395" s="2" t="s">
        <v>508</v>
      </c>
      <c r="B395" s="3" t="n">
        <v>46165</v>
      </c>
      <c r="C395" s="2" t="s">
        <v>103</v>
      </c>
      <c r="D395" s="2" t="s">
        <v>23</v>
      </c>
      <c r="E395" s="2" t="s">
        <v>37</v>
      </c>
      <c r="F395" s="2" t="s">
        <v>30</v>
      </c>
      <c r="G395" s="2" t="s">
        <v>17</v>
      </c>
      <c r="H395" s="2" t="s">
        <v>57</v>
      </c>
      <c r="I395" s="2" t="s">
        <v>53</v>
      </c>
      <c r="J395" s="2" t="s">
        <v>20</v>
      </c>
      <c r="K395" s="3" t="n">
        <v>46173</v>
      </c>
      <c r="L395" s="2" t="s">
        <v>59</v>
      </c>
    </row>
    <row r="396" customFormat="false" ht="12.75" hidden="false" customHeight="false" outlineLevel="0" collapsed="false">
      <c r="A396" s="2" t="s">
        <v>509</v>
      </c>
      <c r="B396" s="3" t="n">
        <v>46175</v>
      </c>
      <c r="C396" s="2" t="s">
        <v>22</v>
      </c>
      <c r="D396" s="2" t="s">
        <v>14</v>
      </c>
      <c r="E396" s="2" t="s">
        <v>29</v>
      </c>
      <c r="F396" s="2" t="s">
        <v>30</v>
      </c>
      <c r="G396" s="2" t="s">
        <v>17</v>
      </c>
      <c r="H396" s="2" t="s">
        <v>18</v>
      </c>
      <c r="I396" s="2" t="s">
        <v>53</v>
      </c>
      <c r="J396" s="2" t="s">
        <v>71</v>
      </c>
      <c r="K396" s="3" t="n">
        <v>46193</v>
      </c>
      <c r="L396" s="2" t="s">
        <v>104</v>
      </c>
    </row>
    <row r="397" customFormat="false" ht="12.75" hidden="false" customHeight="false" outlineLevel="0" collapsed="false">
      <c r="A397" s="2" t="s">
        <v>510</v>
      </c>
      <c r="B397" s="3" t="n">
        <v>46111</v>
      </c>
      <c r="C397" s="2" t="s">
        <v>164</v>
      </c>
      <c r="D397" s="2" t="s">
        <v>70</v>
      </c>
      <c r="E397" s="2" t="s">
        <v>15</v>
      </c>
      <c r="F397" s="2" t="s">
        <v>38</v>
      </c>
      <c r="G397" s="2" t="s">
        <v>39</v>
      </c>
      <c r="H397" s="2" t="s">
        <v>110</v>
      </c>
      <c r="I397" s="2" t="s">
        <v>40</v>
      </c>
      <c r="J397" s="2" t="s">
        <v>20</v>
      </c>
      <c r="K397" s="3" t="n">
        <v>46130</v>
      </c>
      <c r="L397" s="2" t="s">
        <v>41</v>
      </c>
    </row>
    <row r="398" customFormat="false" ht="12.75" hidden="false" customHeight="false" outlineLevel="0" collapsed="false">
      <c r="A398" s="2" t="s">
        <v>249</v>
      </c>
      <c r="B398" s="3" t="n">
        <v>46051</v>
      </c>
      <c r="C398" s="2" t="s">
        <v>192</v>
      </c>
      <c r="D398" s="2" t="s">
        <v>51</v>
      </c>
      <c r="E398" s="2" t="s">
        <v>29</v>
      </c>
      <c r="F398" s="2" t="s">
        <v>24</v>
      </c>
      <c r="G398" s="2" t="s">
        <v>17</v>
      </c>
      <c r="H398" s="2" t="s">
        <v>18</v>
      </c>
      <c r="I398" s="2" t="s">
        <v>53</v>
      </c>
      <c r="J398" s="2" t="s">
        <v>129</v>
      </c>
      <c r="K398" s="2"/>
      <c r="L398" s="2" t="s">
        <v>32</v>
      </c>
    </row>
    <row r="399" customFormat="false" ht="12.75" hidden="false" customHeight="false" outlineLevel="0" collapsed="false">
      <c r="A399" s="2" t="s">
        <v>511</v>
      </c>
      <c r="B399" s="3" t="n">
        <v>46038</v>
      </c>
      <c r="C399" s="2" t="s">
        <v>61</v>
      </c>
      <c r="D399" s="2" t="s">
        <v>51</v>
      </c>
      <c r="E399" s="2" t="s">
        <v>29</v>
      </c>
      <c r="F399" s="2" t="s">
        <v>38</v>
      </c>
      <c r="G399" s="2" t="s">
        <v>39</v>
      </c>
      <c r="H399" s="2" t="s">
        <v>49</v>
      </c>
      <c r="I399" s="2" t="s">
        <v>40</v>
      </c>
      <c r="J399" s="2" t="s">
        <v>31</v>
      </c>
      <c r="K399" s="3" t="n">
        <v>46040</v>
      </c>
      <c r="L399" s="2" t="s">
        <v>41</v>
      </c>
    </row>
    <row r="400" customFormat="false" ht="12.75" hidden="false" customHeight="false" outlineLevel="0" collapsed="false">
      <c r="A400" s="2" t="s">
        <v>512</v>
      </c>
      <c r="B400" s="3" t="n">
        <v>46054</v>
      </c>
      <c r="C400" s="2" t="s">
        <v>61</v>
      </c>
      <c r="D400" s="2" t="s">
        <v>100</v>
      </c>
      <c r="E400" s="2" t="s">
        <v>15</v>
      </c>
      <c r="F400" s="2" t="s">
        <v>16</v>
      </c>
      <c r="G400" s="2" t="s">
        <v>17</v>
      </c>
      <c r="H400" s="2" t="s">
        <v>18</v>
      </c>
      <c r="I400" s="2" t="s">
        <v>53</v>
      </c>
      <c r="J400" s="2" t="s">
        <v>83</v>
      </c>
      <c r="K400" s="2"/>
      <c r="L400" s="2" t="s">
        <v>63</v>
      </c>
    </row>
    <row r="401" customFormat="false" ht="12.75" hidden="false" customHeight="false" outlineLevel="0" collapsed="false">
      <c r="A401" s="2" t="s">
        <v>513</v>
      </c>
      <c r="B401" s="3" t="n">
        <v>46203</v>
      </c>
      <c r="C401" s="2" t="s">
        <v>61</v>
      </c>
      <c r="D401" s="2" t="s">
        <v>65</v>
      </c>
      <c r="E401" s="2" t="s">
        <v>52</v>
      </c>
      <c r="F401" s="2" t="s">
        <v>30</v>
      </c>
      <c r="G401" s="2"/>
      <c r="H401" s="2" t="s">
        <v>49</v>
      </c>
      <c r="I401" s="2" t="s">
        <v>53</v>
      </c>
      <c r="J401" s="2" t="s">
        <v>20</v>
      </c>
      <c r="K401" s="3" t="n">
        <v>46211</v>
      </c>
      <c r="L401" s="2" t="s">
        <v>88</v>
      </c>
    </row>
    <row r="402" customFormat="false" ht="12.75" hidden="false" customHeight="false" outlineLevel="0" collapsed="false">
      <c r="A402" s="2" t="s">
        <v>514</v>
      </c>
      <c r="B402" s="3" t="n">
        <v>46087</v>
      </c>
      <c r="C402" s="2" t="s">
        <v>61</v>
      </c>
      <c r="D402" s="2" t="s">
        <v>159</v>
      </c>
      <c r="E402" s="2" t="s">
        <v>66</v>
      </c>
      <c r="F402" s="2" t="s">
        <v>30</v>
      </c>
      <c r="G402" s="2" t="s">
        <v>17</v>
      </c>
      <c r="H402" s="2" t="s">
        <v>49</v>
      </c>
      <c r="I402" s="2" t="s">
        <v>53</v>
      </c>
      <c r="J402" s="2" t="s">
        <v>20</v>
      </c>
      <c r="K402" s="3" t="n">
        <v>46088</v>
      </c>
      <c r="L402" s="2" t="s">
        <v>86</v>
      </c>
    </row>
    <row r="403" customFormat="false" ht="12.75" hidden="false" customHeight="false" outlineLevel="0" collapsed="false">
      <c r="A403" s="2" t="s">
        <v>515</v>
      </c>
      <c r="B403" s="3" t="n">
        <v>46118</v>
      </c>
      <c r="C403" s="2" t="s">
        <v>103</v>
      </c>
      <c r="D403" s="2" t="s">
        <v>100</v>
      </c>
      <c r="E403" s="2" t="s">
        <v>52</v>
      </c>
      <c r="F403" s="2" t="s">
        <v>30</v>
      </c>
      <c r="G403" s="2" t="s">
        <v>17</v>
      </c>
      <c r="H403" s="2" t="s">
        <v>49</v>
      </c>
      <c r="I403" s="2" t="s">
        <v>40</v>
      </c>
      <c r="J403" s="2" t="s">
        <v>20</v>
      </c>
      <c r="K403" s="3" t="n">
        <v>46134</v>
      </c>
      <c r="L403" s="2" t="s">
        <v>54</v>
      </c>
    </row>
    <row r="404" customFormat="false" ht="12.75" hidden="false" customHeight="false" outlineLevel="0" collapsed="false">
      <c r="A404" s="2" t="s">
        <v>516</v>
      </c>
      <c r="B404" s="2" t="s">
        <v>517</v>
      </c>
      <c r="C404" s="2" t="s">
        <v>22</v>
      </c>
      <c r="D404" s="2" t="s">
        <v>100</v>
      </c>
      <c r="E404" s="2" t="s">
        <v>52</v>
      </c>
      <c r="F404" s="2" t="s">
        <v>16</v>
      </c>
      <c r="G404" s="2" t="s">
        <v>17</v>
      </c>
      <c r="H404" s="2" t="s">
        <v>57</v>
      </c>
      <c r="I404" s="2" t="s">
        <v>40</v>
      </c>
      <c r="J404" s="2" t="s">
        <v>20</v>
      </c>
      <c r="K404" s="3" t="n">
        <v>46089</v>
      </c>
      <c r="L404" s="2" t="s">
        <v>54</v>
      </c>
    </row>
    <row r="405" customFormat="false" ht="12.75" hidden="false" customHeight="false" outlineLevel="0" collapsed="false">
      <c r="A405" s="2" t="s">
        <v>518</v>
      </c>
      <c r="B405" s="3" t="n">
        <v>46055</v>
      </c>
      <c r="C405" s="2" t="s">
        <v>61</v>
      </c>
      <c r="D405" s="2" t="s">
        <v>203</v>
      </c>
      <c r="E405" s="2" t="s">
        <v>52</v>
      </c>
      <c r="F405" s="2" t="s">
        <v>30</v>
      </c>
      <c r="G405" s="2" t="s">
        <v>17</v>
      </c>
      <c r="H405" s="2" t="s">
        <v>57</v>
      </c>
      <c r="I405" s="2" t="s">
        <v>40</v>
      </c>
      <c r="J405" s="2" t="s">
        <v>20</v>
      </c>
      <c r="K405" s="3" t="n">
        <v>46071</v>
      </c>
      <c r="L405" s="2" t="s">
        <v>54</v>
      </c>
    </row>
    <row r="406" customFormat="false" ht="12.75" hidden="false" customHeight="false" outlineLevel="0" collapsed="false">
      <c r="A406" s="2" t="s">
        <v>519</v>
      </c>
      <c r="B406" s="3" t="n">
        <v>46171</v>
      </c>
      <c r="C406" s="2" t="s">
        <v>22</v>
      </c>
      <c r="D406" s="2" t="s">
        <v>70</v>
      </c>
      <c r="E406" s="2" t="s">
        <v>66</v>
      </c>
      <c r="F406" s="2" t="s">
        <v>30</v>
      </c>
      <c r="G406" s="2" t="s">
        <v>17</v>
      </c>
      <c r="H406" s="2" t="s">
        <v>18</v>
      </c>
      <c r="I406" s="2" t="s">
        <v>40</v>
      </c>
      <c r="J406" s="2" t="s">
        <v>20</v>
      </c>
      <c r="K406" s="3" t="n">
        <v>46189</v>
      </c>
      <c r="L406" s="2" t="s">
        <v>86</v>
      </c>
    </row>
    <row r="407" customFormat="false" ht="12.75" hidden="false" customHeight="false" outlineLevel="0" collapsed="false">
      <c r="A407" s="2" t="s">
        <v>520</v>
      </c>
      <c r="B407" s="3" t="n">
        <v>46066</v>
      </c>
      <c r="C407" s="2" t="s">
        <v>13</v>
      </c>
      <c r="D407" s="2" t="s">
        <v>203</v>
      </c>
      <c r="E407" s="2" t="s">
        <v>15</v>
      </c>
      <c r="F407" s="2" t="s">
        <v>30</v>
      </c>
      <c r="G407" s="2" t="s">
        <v>17</v>
      </c>
      <c r="H407" s="2" t="s">
        <v>93</v>
      </c>
      <c r="I407" s="2" t="s">
        <v>25</v>
      </c>
      <c r="J407" s="2" t="s">
        <v>213</v>
      </c>
      <c r="K407" s="2"/>
      <c r="L407" s="2" t="s">
        <v>26</v>
      </c>
    </row>
    <row r="408" customFormat="false" ht="12.75" hidden="false" customHeight="false" outlineLevel="0" collapsed="false">
      <c r="A408" s="2" t="s">
        <v>521</v>
      </c>
      <c r="B408" s="3" t="n">
        <v>46205</v>
      </c>
      <c r="C408" s="2" t="s">
        <v>22</v>
      </c>
      <c r="D408" s="2" t="s">
        <v>56</v>
      </c>
      <c r="E408" s="2" t="s">
        <v>29</v>
      </c>
      <c r="F408" s="2" t="s">
        <v>48</v>
      </c>
      <c r="G408" s="2" t="s">
        <v>17</v>
      </c>
      <c r="H408" s="2" t="s">
        <v>49</v>
      </c>
      <c r="I408" s="2"/>
      <c r="J408" s="2" t="s">
        <v>20</v>
      </c>
      <c r="K408" s="3" t="n">
        <v>46206</v>
      </c>
      <c r="L408" s="2" t="s">
        <v>32</v>
      </c>
    </row>
    <row r="409" customFormat="false" ht="12.75" hidden="false" customHeight="false" outlineLevel="0" collapsed="false">
      <c r="A409" s="2" t="s">
        <v>522</v>
      </c>
      <c r="B409" s="3" t="n">
        <v>46047</v>
      </c>
      <c r="C409" s="2" t="s">
        <v>13</v>
      </c>
      <c r="D409" s="2" t="s">
        <v>47</v>
      </c>
      <c r="E409" s="2" t="s">
        <v>52</v>
      </c>
      <c r="F409" s="2" t="s">
        <v>48</v>
      </c>
      <c r="G409" s="2" t="s">
        <v>17</v>
      </c>
      <c r="H409" s="2" t="s">
        <v>18</v>
      </c>
      <c r="I409" s="2" t="s">
        <v>19</v>
      </c>
      <c r="J409" s="2" t="s">
        <v>31</v>
      </c>
      <c r="K409" s="3" t="n">
        <v>46049</v>
      </c>
      <c r="L409" s="2" t="s">
        <v>97</v>
      </c>
    </row>
    <row r="410" customFormat="false" ht="12.75" hidden="false" customHeight="false" outlineLevel="0" collapsed="false">
      <c r="A410" s="2" t="s">
        <v>523</v>
      </c>
      <c r="B410" s="3" t="n">
        <v>46052</v>
      </c>
      <c r="C410" s="2" t="s">
        <v>127</v>
      </c>
      <c r="D410" s="2" t="s">
        <v>14</v>
      </c>
      <c r="E410" s="2" t="s">
        <v>66</v>
      </c>
      <c r="F410" s="2" t="s">
        <v>38</v>
      </c>
      <c r="G410" s="2" t="s">
        <v>39</v>
      </c>
      <c r="H410" s="2" t="s">
        <v>93</v>
      </c>
      <c r="I410" s="2" t="s">
        <v>25</v>
      </c>
      <c r="J410" s="2" t="s">
        <v>20</v>
      </c>
      <c r="K410" s="3" t="n">
        <v>46073</v>
      </c>
      <c r="L410" s="2" t="s">
        <v>41</v>
      </c>
    </row>
    <row r="411" customFormat="false" ht="12.75" hidden="false" customHeight="false" outlineLevel="0" collapsed="false">
      <c r="A411" s="2" t="s">
        <v>524</v>
      </c>
      <c r="B411" s="3" t="n">
        <v>46185</v>
      </c>
      <c r="C411" s="2" t="s">
        <v>113</v>
      </c>
      <c r="D411" s="2" t="s">
        <v>70</v>
      </c>
      <c r="E411" s="2" t="s">
        <v>15</v>
      </c>
      <c r="F411" s="2" t="s">
        <v>24</v>
      </c>
      <c r="G411" s="2" t="s">
        <v>17</v>
      </c>
      <c r="H411" s="2" t="s">
        <v>49</v>
      </c>
      <c r="I411" s="2" t="s">
        <v>25</v>
      </c>
      <c r="J411" s="2" t="s">
        <v>213</v>
      </c>
      <c r="K411" s="2"/>
      <c r="L411" s="2" t="s">
        <v>26</v>
      </c>
    </row>
    <row r="412" customFormat="false" ht="12.75" hidden="false" customHeight="false" outlineLevel="0" collapsed="false">
      <c r="A412" s="2" t="s">
        <v>525</v>
      </c>
      <c r="B412" s="3" t="n">
        <v>46039</v>
      </c>
      <c r="C412" s="2" t="s">
        <v>131</v>
      </c>
      <c r="D412" s="2" t="s">
        <v>14</v>
      </c>
      <c r="E412" s="2" t="s">
        <v>37</v>
      </c>
      <c r="F412" s="2" t="s">
        <v>24</v>
      </c>
      <c r="G412" s="2" t="s">
        <v>17</v>
      </c>
      <c r="H412" s="2" t="s">
        <v>49</v>
      </c>
      <c r="I412" s="2" t="s">
        <v>40</v>
      </c>
      <c r="J412" s="2" t="s">
        <v>213</v>
      </c>
      <c r="K412" s="2"/>
      <c r="L412" s="2" t="s">
        <v>144</v>
      </c>
    </row>
    <row r="413" customFormat="false" ht="12.75" hidden="false" customHeight="false" outlineLevel="0" collapsed="false">
      <c r="A413" s="2" t="s">
        <v>526</v>
      </c>
      <c r="B413" s="3" t="n">
        <v>46159</v>
      </c>
      <c r="C413" s="2" t="s">
        <v>22</v>
      </c>
      <c r="D413" s="2" t="s">
        <v>23</v>
      </c>
      <c r="E413" s="2" t="s">
        <v>29</v>
      </c>
      <c r="F413" s="2" t="s">
        <v>48</v>
      </c>
      <c r="G413" s="2" t="s">
        <v>17</v>
      </c>
      <c r="H413" s="2" t="s">
        <v>125</v>
      </c>
      <c r="I413" s="2" t="s">
        <v>40</v>
      </c>
      <c r="J413" s="2" t="s">
        <v>108</v>
      </c>
      <c r="K413" s="2"/>
      <c r="L413" s="2" t="s">
        <v>104</v>
      </c>
    </row>
    <row r="414" customFormat="false" ht="12.75" hidden="false" customHeight="false" outlineLevel="0" collapsed="false">
      <c r="A414" s="2" t="s">
        <v>457</v>
      </c>
      <c r="B414" s="3" t="n">
        <v>46204</v>
      </c>
      <c r="C414" s="2" t="s">
        <v>22</v>
      </c>
      <c r="D414" s="2" t="s">
        <v>100</v>
      </c>
      <c r="E414" s="2" t="s">
        <v>52</v>
      </c>
      <c r="F414" s="2" t="s">
        <v>24</v>
      </c>
      <c r="G414" s="2" t="s">
        <v>17</v>
      </c>
      <c r="H414" s="2" t="s">
        <v>179</v>
      </c>
      <c r="I414" s="2" t="s">
        <v>81</v>
      </c>
      <c r="J414" s="2" t="s">
        <v>134</v>
      </c>
      <c r="K414" s="3" t="n">
        <v>46209</v>
      </c>
      <c r="L414" s="2" t="s">
        <v>97</v>
      </c>
    </row>
    <row r="415" customFormat="false" ht="12.75" hidden="false" customHeight="false" outlineLevel="0" collapsed="false">
      <c r="A415" s="2" t="s">
        <v>527</v>
      </c>
      <c r="B415" s="3" t="n">
        <v>46045</v>
      </c>
      <c r="C415" s="2" t="s">
        <v>43</v>
      </c>
      <c r="D415" s="2" t="s">
        <v>51</v>
      </c>
      <c r="E415" s="2"/>
      <c r="F415" s="2" t="s">
        <v>30</v>
      </c>
      <c r="G415" s="2" t="s">
        <v>17</v>
      </c>
      <c r="H415" s="2" t="s">
        <v>93</v>
      </c>
      <c r="I415" s="2" t="s">
        <v>53</v>
      </c>
      <c r="J415" s="2" t="s">
        <v>20</v>
      </c>
      <c r="K415" s="3" t="n">
        <v>46071</v>
      </c>
      <c r="L415" s="2" t="s">
        <v>45</v>
      </c>
    </row>
    <row r="416" customFormat="false" ht="12.75" hidden="false" customHeight="false" outlineLevel="0" collapsed="false">
      <c r="A416" s="2" t="s">
        <v>528</v>
      </c>
      <c r="B416" s="3" t="n">
        <v>46053</v>
      </c>
      <c r="C416" s="2" t="s">
        <v>131</v>
      </c>
      <c r="D416" s="2" t="s">
        <v>14</v>
      </c>
      <c r="E416" s="2" t="s">
        <v>15</v>
      </c>
      <c r="F416" s="2" t="s">
        <v>24</v>
      </c>
      <c r="G416" s="2" t="s">
        <v>17</v>
      </c>
      <c r="H416" s="2" t="s">
        <v>18</v>
      </c>
      <c r="I416" s="2" t="s">
        <v>25</v>
      </c>
      <c r="J416" s="2" t="s">
        <v>83</v>
      </c>
      <c r="K416" s="2"/>
      <c r="L416" s="2" t="s">
        <v>63</v>
      </c>
    </row>
    <row r="417" customFormat="false" ht="12.75" hidden="false" customHeight="false" outlineLevel="0" collapsed="false">
      <c r="A417" s="2" t="s">
        <v>529</v>
      </c>
      <c r="B417" s="3" t="n">
        <v>46143</v>
      </c>
      <c r="C417" s="2" t="s">
        <v>35</v>
      </c>
      <c r="D417" s="2" t="s">
        <v>23</v>
      </c>
      <c r="E417" s="2" t="s">
        <v>66</v>
      </c>
      <c r="F417" s="2" t="s">
        <v>30</v>
      </c>
      <c r="G417" s="2" t="s">
        <v>17</v>
      </c>
      <c r="H417" s="2" t="s">
        <v>18</v>
      </c>
      <c r="I417" s="2" t="s">
        <v>25</v>
      </c>
      <c r="J417" s="2" t="s">
        <v>58</v>
      </c>
      <c r="K417" s="2"/>
      <c r="L417" s="2" t="s">
        <v>67</v>
      </c>
    </row>
    <row r="418" customFormat="false" ht="12.75" hidden="false" customHeight="false" outlineLevel="0" collapsed="false">
      <c r="A418" s="2" t="s">
        <v>530</v>
      </c>
      <c r="B418" s="2" t="s">
        <v>531</v>
      </c>
      <c r="C418" s="2" t="s">
        <v>28</v>
      </c>
      <c r="D418" s="2" t="s">
        <v>215</v>
      </c>
      <c r="E418" s="2" t="s">
        <v>15</v>
      </c>
      <c r="F418" s="2" t="s">
        <v>24</v>
      </c>
      <c r="G418" s="2" t="s">
        <v>17</v>
      </c>
      <c r="H418" s="2" t="s">
        <v>18</v>
      </c>
      <c r="I418" s="2" t="s">
        <v>25</v>
      </c>
      <c r="J418" s="2" t="s">
        <v>83</v>
      </c>
      <c r="K418" s="2"/>
      <c r="L418" s="2" t="s">
        <v>63</v>
      </c>
    </row>
    <row r="419" customFormat="false" ht="12.75" hidden="false" customHeight="false" outlineLevel="0" collapsed="false">
      <c r="A419" s="2" t="s">
        <v>532</v>
      </c>
      <c r="B419" s="3" t="n">
        <v>46040</v>
      </c>
      <c r="C419" s="2" t="s">
        <v>28</v>
      </c>
      <c r="D419" s="2" t="s">
        <v>23</v>
      </c>
      <c r="E419" s="2" t="s">
        <v>52</v>
      </c>
      <c r="F419" s="2" t="s">
        <v>48</v>
      </c>
      <c r="G419" s="2" t="s">
        <v>17</v>
      </c>
      <c r="H419" s="2" t="s">
        <v>80</v>
      </c>
      <c r="I419" s="2" t="s">
        <v>40</v>
      </c>
      <c r="J419" s="2" t="s">
        <v>58</v>
      </c>
      <c r="K419" s="2"/>
      <c r="L419" s="2" t="s">
        <v>97</v>
      </c>
    </row>
    <row r="420" customFormat="false" ht="12.75" hidden="false" customHeight="false" outlineLevel="0" collapsed="false">
      <c r="A420" s="2" t="s">
        <v>533</v>
      </c>
      <c r="B420" s="3" t="n">
        <v>46090</v>
      </c>
      <c r="C420" s="2" t="s">
        <v>28</v>
      </c>
      <c r="D420" s="2" t="s">
        <v>51</v>
      </c>
      <c r="E420" s="2" t="s">
        <v>52</v>
      </c>
      <c r="F420" s="2" t="s">
        <v>24</v>
      </c>
      <c r="G420" s="2" t="s">
        <v>17</v>
      </c>
      <c r="H420" s="2" t="s">
        <v>80</v>
      </c>
      <c r="I420" s="2"/>
      <c r="J420" s="2" t="s">
        <v>134</v>
      </c>
      <c r="K420" s="3" t="n">
        <v>46112</v>
      </c>
      <c r="L420" s="2" t="s">
        <v>88</v>
      </c>
    </row>
    <row r="421" customFormat="false" ht="12.75" hidden="false" customHeight="false" outlineLevel="0" collapsed="false">
      <c r="A421" s="2" t="s">
        <v>534</v>
      </c>
      <c r="B421" s="3" t="n">
        <v>46172</v>
      </c>
      <c r="C421" s="2" t="s">
        <v>61</v>
      </c>
      <c r="D421" s="2" t="s">
        <v>266</v>
      </c>
      <c r="E421" s="2" t="s">
        <v>29</v>
      </c>
      <c r="F421" s="2" t="s">
        <v>30</v>
      </c>
      <c r="G421" s="2" t="s">
        <v>17</v>
      </c>
      <c r="H421" s="2" t="s">
        <v>49</v>
      </c>
      <c r="I421" s="2" t="s">
        <v>53</v>
      </c>
      <c r="J421" s="2" t="s">
        <v>20</v>
      </c>
      <c r="K421" s="3" t="n">
        <v>46184</v>
      </c>
      <c r="L421" s="2" t="s">
        <v>104</v>
      </c>
    </row>
    <row r="422" customFormat="false" ht="12.75" hidden="false" customHeight="false" outlineLevel="0" collapsed="false">
      <c r="A422" s="2" t="s">
        <v>535</v>
      </c>
      <c r="B422" s="3" t="n">
        <v>46132</v>
      </c>
      <c r="C422" s="2" t="s">
        <v>61</v>
      </c>
      <c r="D422" s="2" t="s">
        <v>23</v>
      </c>
      <c r="E422" s="2" t="s">
        <v>15</v>
      </c>
      <c r="F422" s="2" t="s">
        <v>16</v>
      </c>
      <c r="G422" s="2" t="s">
        <v>17</v>
      </c>
      <c r="H422" s="2" t="s">
        <v>18</v>
      </c>
      <c r="I422" s="2" t="s">
        <v>25</v>
      </c>
      <c r="J422" s="2" t="s">
        <v>58</v>
      </c>
      <c r="K422" s="2"/>
      <c r="L422" s="2" t="s">
        <v>78</v>
      </c>
    </row>
    <row r="423" customFormat="false" ht="12.75" hidden="false" customHeight="false" outlineLevel="0" collapsed="false">
      <c r="A423" s="2" t="s">
        <v>147</v>
      </c>
      <c r="B423" s="3" t="n">
        <v>46056</v>
      </c>
      <c r="C423" s="2" t="s">
        <v>138</v>
      </c>
      <c r="D423" s="2" t="s">
        <v>23</v>
      </c>
      <c r="E423" s="2" t="s">
        <v>15</v>
      </c>
      <c r="F423" s="2" t="s">
        <v>16</v>
      </c>
      <c r="G423" s="2" t="s">
        <v>17</v>
      </c>
      <c r="H423" s="2" t="s">
        <v>49</v>
      </c>
      <c r="I423" s="2" t="s">
        <v>40</v>
      </c>
      <c r="J423" s="2" t="s">
        <v>20</v>
      </c>
      <c r="K423" s="3" t="n">
        <v>46080</v>
      </c>
      <c r="L423" s="2" t="s">
        <v>78</v>
      </c>
    </row>
    <row r="424" customFormat="false" ht="12.75" hidden="false" customHeight="false" outlineLevel="0" collapsed="false">
      <c r="A424" s="2" t="s">
        <v>536</v>
      </c>
      <c r="B424" s="3" t="n">
        <v>46100</v>
      </c>
      <c r="C424" s="2" t="s">
        <v>13</v>
      </c>
      <c r="D424" s="2" t="s">
        <v>14</v>
      </c>
      <c r="E424" s="2" t="s">
        <v>52</v>
      </c>
      <c r="F424" s="2" t="s">
        <v>24</v>
      </c>
      <c r="G424" s="2" t="s">
        <v>17</v>
      </c>
      <c r="H424" s="2" t="s">
        <v>18</v>
      </c>
      <c r="I424" s="2" t="s">
        <v>40</v>
      </c>
      <c r="J424" s="2" t="s">
        <v>71</v>
      </c>
      <c r="K424" s="2"/>
      <c r="L424" s="2" t="s">
        <v>95</v>
      </c>
    </row>
    <row r="425" customFormat="false" ht="12.75" hidden="false" customHeight="false" outlineLevel="0" collapsed="false">
      <c r="A425" s="2" t="s">
        <v>537</v>
      </c>
      <c r="B425" s="3" t="n">
        <v>46169</v>
      </c>
      <c r="C425" s="2" t="s">
        <v>35</v>
      </c>
      <c r="D425" s="2" t="s">
        <v>70</v>
      </c>
      <c r="E425" s="2" t="s">
        <v>52</v>
      </c>
      <c r="F425" s="2" t="s">
        <v>30</v>
      </c>
      <c r="G425" s="2" t="s">
        <v>17</v>
      </c>
      <c r="H425" s="2" t="s">
        <v>179</v>
      </c>
      <c r="I425" s="2" t="s">
        <v>40</v>
      </c>
      <c r="J425" s="2" t="s">
        <v>182</v>
      </c>
      <c r="K425" s="2"/>
      <c r="L425" s="2" t="s">
        <v>88</v>
      </c>
    </row>
    <row r="426" customFormat="false" ht="12.75" hidden="false" customHeight="false" outlineLevel="0" collapsed="false">
      <c r="A426" s="2" t="s">
        <v>538</v>
      </c>
      <c r="B426" s="3" t="n">
        <v>46227</v>
      </c>
      <c r="C426" s="2" t="s">
        <v>35</v>
      </c>
      <c r="D426" s="2" t="s">
        <v>51</v>
      </c>
      <c r="E426" s="2" t="s">
        <v>15</v>
      </c>
      <c r="F426" s="2" t="s">
        <v>16</v>
      </c>
      <c r="G426" s="2" t="s">
        <v>17</v>
      </c>
      <c r="H426" s="2" t="s">
        <v>18</v>
      </c>
      <c r="I426" s="2" t="s">
        <v>40</v>
      </c>
      <c r="J426" s="2" t="s">
        <v>20</v>
      </c>
      <c r="K426" s="3" t="n">
        <v>46253</v>
      </c>
      <c r="L426" s="2" t="s">
        <v>26</v>
      </c>
    </row>
    <row r="427" customFormat="false" ht="12.75" hidden="false" customHeight="false" outlineLevel="0" collapsed="false">
      <c r="A427" s="2" t="s">
        <v>539</v>
      </c>
      <c r="B427" s="3" t="n">
        <v>46072</v>
      </c>
      <c r="C427" s="2" t="s">
        <v>35</v>
      </c>
      <c r="D427" s="2" t="s">
        <v>70</v>
      </c>
      <c r="E427" s="2" t="s">
        <v>29</v>
      </c>
      <c r="F427" s="2" t="s">
        <v>30</v>
      </c>
      <c r="G427" s="2" t="s">
        <v>17</v>
      </c>
      <c r="H427" s="2" t="s">
        <v>18</v>
      </c>
      <c r="I427" s="2" t="s">
        <v>40</v>
      </c>
      <c r="J427" s="2" t="s">
        <v>20</v>
      </c>
      <c r="K427" s="3" t="n">
        <v>46079</v>
      </c>
      <c r="L427" s="2"/>
    </row>
    <row r="428" customFormat="false" ht="12.75" hidden="false" customHeight="false" outlineLevel="0" collapsed="false">
      <c r="A428" s="2" t="s">
        <v>540</v>
      </c>
      <c r="B428" s="3" t="n">
        <v>46203</v>
      </c>
      <c r="C428" s="2" t="s">
        <v>164</v>
      </c>
      <c r="D428" s="2" t="s">
        <v>51</v>
      </c>
      <c r="E428" s="2" t="s">
        <v>52</v>
      </c>
      <c r="F428" s="2" t="s">
        <v>24</v>
      </c>
      <c r="G428" s="2" t="s">
        <v>17</v>
      </c>
      <c r="H428" s="2" t="s">
        <v>18</v>
      </c>
      <c r="I428" s="2" t="s">
        <v>53</v>
      </c>
      <c r="J428" s="2" t="s">
        <v>20</v>
      </c>
      <c r="K428" s="2"/>
      <c r="L428" s="2" t="s">
        <v>97</v>
      </c>
    </row>
    <row r="429" customFormat="false" ht="12.75" hidden="false" customHeight="false" outlineLevel="0" collapsed="false">
      <c r="A429" s="2" t="s">
        <v>541</v>
      </c>
      <c r="B429" s="3" t="n">
        <v>46224</v>
      </c>
      <c r="C429" s="2" t="s">
        <v>13</v>
      </c>
      <c r="D429" s="2" t="s">
        <v>70</v>
      </c>
      <c r="E429" s="2" t="s">
        <v>15</v>
      </c>
      <c r="F429" s="2" t="s">
        <v>24</v>
      </c>
      <c r="G429" s="2" t="s">
        <v>17</v>
      </c>
      <c r="H429" s="2" t="s">
        <v>18</v>
      </c>
      <c r="I429" s="2" t="s">
        <v>40</v>
      </c>
      <c r="J429" s="2" t="s">
        <v>108</v>
      </c>
      <c r="K429" s="2"/>
      <c r="L429" s="2" t="s">
        <v>114</v>
      </c>
    </row>
    <row r="430" customFormat="false" ht="12.75" hidden="false" customHeight="false" outlineLevel="0" collapsed="false">
      <c r="A430" s="2" t="s">
        <v>542</v>
      </c>
      <c r="B430" s="3" t="n">
        <v>46073</v>
      </c>
      <c r="C430" s="2" t="s">
        <v>28</v>
      </c>
      <c r="D430" s="2" t="s">
        <v>51</v>
      </c>
      <c r="E430" s="2" t="s">
        <v>37</v>
      </c>
      <c r="F430" s="2" t="s">
        <v>24</v>
      </c>
      <c r="G430" s="2" t="s">
        <v>17</v>
      </c>
      <c r="H430" s="2" t="s">
        <v>49</v>
      </c>
      <c r="I430" s="2" t="s">
        <v>40</v>
      </c>
      <c r="J430" s="2" t="s">
        <v>71</v>
      </c>
      <c r="K430" s="3" t="n">
        <v>46095</v>
      </c>
      <c r="L430" s="2" t="s">
        <v>72</v>
      </c>
    </row>
    <row r="431" customFormat="false" ht="12.75" hidden="false" customHeight="false" outlineLevel="0" collapsed="false">
      <c r="A431" s="2" t="s">
        <v>543</v>
      </c>
      <c r="B431" s="3" t="n">
        <v>46154</v>
      </c>
      <c r="C431" s="2" t="s">
        <v>61</v>
      </c>
      <c r="D431" s="2" t="s">
        <v>100</v>
      </c>
      <c r="E431" s="2" t="s">
        <v>37</v>
      </c>
      <c r="F431" s="2" t="s">
        <v>16</v>
      </c>
      <c r="G431" s="2" t="s">
        <v>17</v>
      </c>
      <c r="H431" s="2" t="s">
        <v>110</v>
      </c>
      <c r="I431" s="2" t="s">
        <v>40</v>
      </c>
      <c r="J431" s="2" t="s">
        <v>20</v>
      </c>
      <c r="K431" s="3" t="n">
        <v>46180</v>
      </c>
      <c r="L431" s="2" t="s">
        <v>59</v>
      </c>
    </row>
    <row r="432" customFormat="false" ht="12.75" hidden="false" customHeight="false" outlineLevel="0" collapsed="false">
      <c r="A432" s="2" t="s">
        <v>544</v>
      </c>
      <c r="B432" s="3" t="n">
        <v>46133</v>
      </c>
      <c r="C432" s="2" t="s">
        <v>22</v>
      </c>
      <c r="D432" s="2" t="s">
        <v>56</v>
      </c>
      <c r="E432" s="2" t="s">
        <v>52</v>
      </c>
      <c r="F432" s="2" t="s">
        <v>16</v>
      </c>
      <c r="G432" s="2" t="s">
        <v>17</v>
      </c>
      <c r="H432" s="2" t="s">
        <v>18</v>
      </c>
      <c r="I432" s="2" t="s">
        <v>53</v>
      </c>
      <c r="J432" s="2" t="s">
        <v>20</v>
      </c>
      <c r="K432" s="3" t="n">
        <v>46126</v>
      </c>
      <c r="L432" s="2" t="s">
        <v>95</v>
      </c>
    </row>
    <row r="433" customFormat="false" ht="12.75" hidden="false" customHeight="false" outlineLevel="0" collapsed="false">
      <c r="A433" s="2" t="s">
        <v>545</v>
      </c>
      <c r="B433" s="3" t="n">
        <v>46039</v>
      </c>
      <c r="C433" s="2" t="s">
        <v>138</v>
      </c>
      <c r="D433" s="2" t="s">
        <v>116</v>
      </c>
      <c r="E433" s="2" t="s">
        <v>52</v>
      </c>
      <c r="F433" s="2" t="s">
        <v>16</v>
      </c>
      <c r="G433" s="2" t="s">
        <v>17</v>
      </c>
      <c r="H433" s="2" t="s">
        <v>18</v>
      </c>
      <c r="I433" s="2" t="s">
        <v>25</v>
      </c>
      <c r="J433" s="2" t="s">
        <v>20</v>
      </c>
      <c r="K433" s="3" t="n">
        <v>46052</v>
      </c>
      <c r="L433" s="2" t="s">
        <v>97</v>
      </c>
    </row>
    <row r="434" customFormat="false" ht="12.75" hidden="false" customHeight="false" outlineLevel="0" collapsed="false">
      <c r="A434" s="2" t="s">
        <v>546</v>
      </c>
      <c r="B434" s="3" t="n">
        <v>46156</v>
      </c>
      <c r="C434" s="2" t="s">
        <v>13</v>
      </c>
      <c r="D434" s="2" t="s">
        <v>51</v>
      </c>
      <c r="E434" s="2" t="s">
        <v>15</v>
      </c>
      <c r="F434" s="2" t="s">
        <v>24</v>
      </c>
      <c r="G434" s="2" t="s">
        <v>17</v>
      </c>
      <c r="H434" s="2" t="s">
        <v>18</v>
      </c>
      <c r="I434" s="2" t="s">
        <v>25</v>
      </c>
      <c r="J434" s="2" t="s">
        <v>20</v>
      </c>
      <c r="K434" s="3" t="n">
        <v>46159</v>
      </c>
      <c r="L434" s="2" t="s">
        <v>26</v>
      </c>
    </row>
    <row r="435" customFormat="false" ht="12.75" hidden="false" customHeight="false" outlineLevel="0" collapsed="false">
      <c r="A435" s="2" t="s">
        <v>547</v>
      </c>
      <c r="B435" s="3" t="n">
        <v>46114</v>
      </c>
      <c r="C435" s="2" t="s">
        <v>28</v>
      </c>
      <c r="D435" s="2" t="s">
        <v>203</v>
      </c>
      <c r="E435" s="2" t="s">
        <v>15</v>
      </c>
      <c r="F435" s="2" t="s">
        <v>30</v>
      </c>
      <c r="G435" s="2" t="s">
        <v>17</v>
      </c>
      <c r="H435" s="2" t="s">
        <v>179</v>
      </c>
      <c r="I435" s="2" t="s">
        <v>40</v>
      </c>
      <c r="J435" s="2" t="s">
        <v>20</v>
      </c>
      <c r="K435" s="3" t="n">
        <v>46130</v>
      </c>
      <c r="L435" s="2" t="s">
        <v>78</v>
      </c>
    </row>
    <row r="436" customFormat="false" ht="12.75" hidden="false" customHeight="false" outlineLevel="0" collapsed="false">
      <c r="A436" s="2" t="s">
        <v>548</v>
      </c>
      <c r="B436" s="3" t="n">
        <v>46181</v>
      </c>
      <c r="C436" s="2" t="s">
        <v>35</v>
      </c>
      <c r="D436" s="2" t="s">
        <v>203</v>
      </c>
      <c r="E436" s="2" t="s">
        <v>52</v>
      </c>
      <c r="F436" s="2" t="s">
        <v>24</v>
      </c>
      <c r="G436" s="2" t="s">
        <v>17</v>
      </c>
      <c r="H436" s="2" t="s">
        <v>125</v>
      </c>
      <c r="I436" s="2" t="s">
        <v>19</v>
      </c>
      <c r="J436" s="2" t="s">
        <v>20</v>
      </c>
      <c r="K436" s="3" t="n">
        <v>46202</v>
      </c>
      <c r="L436" s="2" t="s">
        <v>97</v>
      </c>
    </row>
    <row r="437" customFormat="false" ht="12.75" hidden="false" customHeight="false" outlineLevel="0" collapsed="false">
      <c r="A437" s="2" t="s">
        <v>549</v>
      </c>
      <c r="B437" s="3" t="n">
        <v>46062</v>
      </c>
      <c r="C437" s="2" t="s">
        <v>28</v>
      </c>
      <c r="D437" s="2" t="s">
        <v>14</v>
      </c>
      <c r="E437" s="2" t="s">
        <v>29</v>
      </c>
      <c r="F437" s="2" t="s">
        <v>30</v>
      </c>
      <c r="G437" s="2" t="s">
        <v>17</v>
      </c>
      <c r="H437" s="2" t="s">
        <v>18</v>
      </c>
      <c r="I437" s="2" t="s">
        <v>19</v>
      </c>
      <c r="J437" s="2" t="s">
        <v>20</v>
      </c>
      <c r="K437" s="3" t="n">
        <v>46071</v>
      </c>
      <c r="L437" s="2" t="s">
        <v>45</v>
      </c>
    </row>
    <row r="438" customFormat="false" ht="12.75" hidden="false" customHeight="false" outlineLevel="0" collapsed="false">
      <c r="A438" s="2" t="s">
        <v>550</v>
      </c>
      <c r="B438" s="3" t="n">
        <v>46087</v>
      </c>
      <c r="C438" s="2" t="s">
        <v>13</v>
      </c>
      <c r="D438" s="2" t="s">
        <v>56</v>
      </c>
      <c r="E438" s="2" t="s">
        <v>52</v>
      </c>
      <c r="F438" s="2" t="s">
        <v>38</v>
      </c>
      <c r="G438" s="2" t="s">
        <v>39</v>
      </c>
      <c r="H438" s="2" t="s">
        <v>49</v>
      </c>
      <c r="I438" s="2" t="s">
        <v>25</v>
      </c>
      <c r="J438" s="2" t="s">
        <v>129</v>
      </c>
      <c r="K438" s="2"/>
      <c r="L438" s="2" t="s">
        <v>41</v>
      </c>
    </row>
    <row r="439" customFormat="false" ht="12.75" hidden="false" customHeight="false" outlineLevel="0" collapsed="false">
      <c r="A439" s="2" t="s">
        <v>551</v>
      </c>
      <c r="B439" s="3" t="n">
        <v>46027</v>
      </c>
      <c r="C439" s="2" t="s">
        <v>22</v>
      </c>
      <c r="D439" s="2" t="s">
        <v>14</v>
      </c>
      <c r="E439" s="2" t="s">
        <v>37</v>
      </c>
      <c r="F439" s="2" t="s">
        <v>30</v>
      </c>
      <c r="G439" s="2" t="s">
        <v>17</v>
      </c>
      <c r="H439" s="2" t="s">
        <v>18</v>
      </c>
      <c r="I439" s="2" t="s">
        <v>40</v>
      </c>
      <c r="J439" s="2" t="s">
        <v>20</v>
      </c>
      <c r="K439" s="3" t="n">
        <v>46047</v>
      </c>
      <c r="L439" s="2" t="s">
        <v>144</v>
      </c>
    </row>
    <row r="440" customFormat="false" ht="12.75" hidden="false" customHeight="false" outlineLevel="0" collapsed="false">
      <c r="A440" s="2" t="s">
        <v>552</v>
      </c>
      <c r="B440" s="3" t="n">
        <v>46071</v>
      </c>
      <c r="C440" s="2" t="s">
        <v>192</v>
      </c>
      <c r="D440" s="2" t="s">
        <v>70</v>
      </c>
      <c r="E440" s="2" t="s">
        <v>29</v>
      </c>
      <c r="F440" s="2" t="s">
        <v>16</v>
      </c>
      <c r="G440" s="2" t="s">
        <v>17</v>
      </c>
      <c r="H440" s="2" t="s">
        <v>18</v>
      </c>
      <c r="I440" s="2" t="s">
        <v>25</v>
      </c>
      <c r="J440" s="2" t="s">
        <v>20</v>
      </c>
      <c r="K440" s="3" t="n">
        <v>46089</v>
      </c>
      <c r="L440" s="2" t="s">
        <v>45</v>
      </c>
    </row>
    <row r="441" customFormat="false" ht="12.75" hidden="false" customHeight="false" outlineLevel="0" collapsed="false">
      <c r="A441" s="2" t="s">
        <v>553</v>
      </c>
      <c r="B441" s="3" t="n">
        <v>46110</v>
      </c>
      <c r="C441" s="2" t="s">
        <v>22</v>
      </c>
      <c r="D441" s="2" t="s">
        <v>14</v>
      </c>
      <c r="E441" s="2" t="s">
        <v>15</v>
      </c>
      <c r="F441" s="2" t="s">
        <v>16</v>
      </c>
      <c r="G441" s="2" t="s">
        <v>17</v>
      </c>
      <c r="H441" s="2" t="s">
        <v>93</v>
      </c>
      <c r="I441" s="2" t="s">
        <v>25</v>
      </c>
      <c r="J441" s="2" t="s">
        <v>83</v>
      </c>
      <c r="K441" s="2"/>
      <c r="L441" s="2" t="s">
        <v>63</v>
      </c>
    </row>
    <row r="442" customFormat="false" ht="12.75" hidden="false" customHeight="false" outlineLevel="0" collapsed="false">
      <c r="A442" s="2" t="s">
        <v>554</v>
      </c>
      <c r="B442" s="3" t="n">
        <v>46193</v>
      </c>
      <c r="C442" s="2" t="s">
        <v>22</v>
      </c>
      <c r="D442" s="2" t="s">
        <v>23</v>
      </c>
      <c r="E442" s="2" t="s">
        <v>29</v>
      </c>
      <c r="F442" s="2" t="s">
        <v>30</v>
      </c>
      <c r="G442" s="2" t="s">
        <v>17</v>
      </c>
      <c r="H442" s="2" t="s">
        <v>49</v>
      </c>
      <c r="I442" s="2" t="s">
        <v>40</v>
      </c>
      <c r="J442" s="2" t="s">
        <v>20</v>
      </c>
      <c r="K442" s="3" t="n">
        <v>46212</v>
      </c>
      <c r="L442" s="2" t="s">
        <v>104</v>
      </c>
    </row>
    <row r="443" customFormat="false" ht="12.75" hidden="false" customHeight="false" outlineLevel="0" collapsed="false">
      <c r="A443" s="2" t="s">
        <v>555</v>
      </c>
      <c r="B443" s="3" t="n">
        <v>46104</v>
      </c>
      <c r="C443" s="2" t="s">
        <v>69</v>
      </c>
      <c r="D443" s="2" t="s">
        <v>14</v>
      </c>
      <c r="E443" s="2" t="s">
        <v>29</v>
      </c>
      <c r="F443" s="2" t="s">
        <v>24</v>
      </c>
      <c r="G443" s="2" t="s">
        <v>17</v>
      </c>
      <c r="H443" s="2" t="s">
        <v>57</v>
      </c>
      <c r="I443" s="2" t="s">
        <v>40</v>
      </c>
      <c r="J443" s="2" t="s">
        <v>106</v>
      </c>
      <c r="K443" s="2"/>
      <c r="L443" s="2" t="s">
        <v>104</v>
      </c>
    </row>
    <row r="444" customFormat="false" ht="12.75" hidden="false" customHeight="false" outlineLevel="0" collapsed="false">
      <c r="A444" s="2" t="s">
        <v>556</v>
      </c>
      <c r="B444" s="3" t="n">
        <v>46091</v>
      </c>
      <c r="C444" s="2" t="s">
        <v>28</v>
      </c>
      <c r="D444" s="2" t="s">
        <v>47</v>
      </c>
      <c r="E444" s="2" t="s">
        <v>66</v>
      </c>
      <c r="F444" s="2" t="s">
        <v>48</v>
      </c>
      <c r="G444" s="2" t="s">
        <v>17</v>
      </c>
      <c r="H444" s="2" t="s">
        <v>18</v>
      </c>
      <c r="I444" s="2" t="s">
        <v>40</v>
      </c>
      <c r="J444" s="2" t="s">
        <v>83</v>
      </c>
      <c r="K444" s="2"/>
      <c r="L444" s="2"/>
    </row>
    <row r="445" customFormat="false" ht="12.75" hidden="false" customHeight="false" outlineLevel="0" collapsed="false">
      <c r="A445" s="2" t="s">
        <v>557</v>
      </c>
      <c r="B445" s="3" t="n">
        <v>46102</v>
      </c>
      <c r="C445" s="2" t="s">
        <v>13</v>
      </c>
      <c r="D445" s="2" t="s">
        <v>203</v>
      </c>
      <c r="E445" s="2" t="s">
        <v>15</v>
      </c>
      <c r="F445" s="2" t="s">
        <v>30</v>
      </c>
      <c r="G445" s="2" t="s">
        <v>17</v>
      </c>
      <c r="H445" s="2" t="s">
        <v>110</v>
      </c>
      <c r="I445" s="2" t="s">
        <v>53</v>
      </c>
      <c r="J445" s="2" t="s">
        <v>20</v>
      </c>
      <c r="K445" s="2" t="s">
        <v>558</v>
      </c>
      <c r="L445" s="2" t="s">
        <v>78</v>
      </c>
    </row>
    <row r="446" customFormat="false" ht="12.75" hidden="false" customHeight="false" outlineLevel="0" collapsed="false">
      <c r="A446" s="2" t="s">
        <v>559</v>
      </c>
      <c r="B446" s="3" t="n">
        <v>46177</v>
      </c>
      <c r="C446" s="2" t="s">
        <v>28</v>
      </c>
      <c r="D446" s="2" t="s">
        <v>23</v>
      </c>
      <c r="E446" s="2" t="s">
        <v>37</v>
      </c>
      <c r="F446" s="2" t="s">
        <v>48</v>
      </c>
      <c r="G446" s="2" t="s">
        <v>17</v>
      </c>
      <c r="H446" s="2" t="s">
        <v>18</v>
      </c>
      <c r="I446" s="2" t="s">
        <v>53</v>
      </c>
      <c r="J446" s="2" t="s">
        <v>20</v>
      </c>
      <c r="K446" s="3" t="n">
        <v>46195</v>
      </c>
      <c r="L446" s="2" t="s">
        <v>59</v>
      </c>
    </row>
    <row r="447" customFormat="false" ht="12.75" hidden="false" customHeight="false" outlineLevel="0" collapsed="false">
      <c r="A447" s="2" t="s">
        <v>560</v>
      </c>
      <c r="B447" s="3" t="n">
        <v>46100</v>
      </c>
      <c r="C447" s="2" t="s">
        <v>35</v>
      </c>
      <c r="D447" s="2" t="s">
        <v>203</v>
      </c>
      <c r="E447" s="2" t="s">
        <v>52</v>
      </c>
      <c r="F447" s="2" t="s">
        <v>24</v>
      </c>
      <c r="G447" s="2" t="s">
        <v>17</v>
      </c>
      <c r="H447" s="2" t="s">
        <v>49</v>
      </c>
      <c r="I447" s="2" t="s">
        <v>53</v>
      </c>
      <c r="J447" s="2" t="s">
        <v>83</v>
      </c>
      <c r="K447" s="2"/>
      <c r="L447" s="2" t="s">
        <v>88</v>
      </c>
    </row>
    <row r="448" customFormat="false" ht="12.75" hidden="false" customHeight="false" outlineLevel="0" collapsed="false">
      <c r="A448" s="2" t="s">
        <v>561</v>
      </c>
      <c r="B448" s="3" t="n">
        <v>46195</v>
      </c>
      <c r="C448" s="2" t="s">
        <v>69</v>
      </c>
      <c r="D448" s="2" t="s">
        <v>51</v>
      </c>
      <c r="E448" s="2"/>
      <c r="F448" s="2" t="s">
        <v>24</v>
      </c>
      <c r="G448" s="2" t="s">
        <v>17</v>
      </c>
      <c r="H448" s="2" t="s">
        <v>18</v>
      </c>
      <c r="I448" s="2" t="s">
        <v>40</v>
      </c>
      <c r="J448" s="2" t="s">
        <v>20</v>
      </c>
      <c r="K448" s="3" t="n">
        <v>46202</v>
      </c>
      <c r="L448" s="2" t="s">
        <v>104</v>
      </c>
    </row>
    <row r="449" customFormat="false" ht="12.75" hidden="false" customHeight="false" outlineLevel="0" collapsed="false">
      <c r="A449" s="2" t="s">
        <v>562</v>
      </c>
      <c r="B449" s="3" t="n">
        <v>46124</v>
      </c>
      <c r="C449" s="2" t="s">
        <v>28</v>
      </c>
      <c r="D449" s="2" t="s">
        <v>23</v>
      </c>
      <c r="E449" s="2" t="s">
        <v>37</v>
      </c>
      <c r="F449" s="2" t="s">
        <v>38</v>
      </c>
      <c r="G449" s="2" t="s">
        <v>39</v>
      </c>
      <c r="H449" s="2" t="s">
        <v>18</v>
      </c>
      <c r="I449" s="2" t="s">
        <v>40</v>
      </c>
      <c r="J449" s="2" t="s">
        <v>20</v>
      </c>
      <c r="K449" s="3" t="n">
        <v>46152</v>
      </c>
      <c r="L449" s="2" t="s">
        <v>41</v>
      </c>
    </row>
    <row r="450" customFormat="false" ht="12.75" hidden="false" customHeight="false" outlineLevel="0" collapsed="false">
      <c r="A450" s="2" t="s">
        <v>563</v>
      </c>
      <c r="B450" s="3" t="n">
        <v>46129</v>
      </c>
      <c r="C450" s="2" t="s">
        <v>61</v>
      </c>
      <c r="D450" s="2" t="s">
        <v>14</v>
      </c>
      <c r="E450" s="2" t="s">
        <v>15</v>
      </c>
      <c r="F450" s="2" t="s">
        <v>24</v>
      </c>
      <c r="G450" s="2" t="s">
        <v>17</v>
      </c>
      <c r="H450" s="2" t="s">
        <v>80</v>
      </c>
      <c r="I450" s="2" t="s">
        <v>53</v>
      </c>
      <c r="J450" s="2" t="s">
        <v>71</v>
      </c>
      <c r="K450" s="3" t="n">
        <v>46145</v>
      </c>
      <c r="L450" s="2" t="s">
        <v>78</v>
      </c>
    </row>
    <row r="451" customFormat="false" ht="12.75" hidden="false" customHeight="false" outlineLevel="0" collapsed="false">
      <c r="A451" s="2" t="s">
        <v>564</v>
      </c>
      <c r="B451" s="3" t="n">
        <v>46139</v>
      </c>
      <c r="C451" s="2" t="s">
        <v>28</v>
      </c>
      <c r="D451" s="2" t="s">
        <v>100</v>
      </c>
      <c r="E451" s="2" t="s">
        <v>37</v>
      </c>
      <c r="F451" s="2" t="s">
        <v>16</v>
      </c>
      <c r="G451" s="2" t="s">
        <v>17</v>
      </c>
      <c r="H451" s="2" t="s">
        <v>49</v>
      </c>
      <c r="I451" s="2" t="s">
        <v>40</v>
      </c>
      <c r="J451" s="2" t="s">
        <v>108</v>
      </c>
      <c r="K451" s="2"/>
      <c r="L451" s="2" t="s">
        <v>59</v>
      </c>
    </row>
    <row r="452" customFormat="false" ht="12.75" hidden="false" customHeight="false" outlineLevel="0" collapsed="false">
      <c r="A452" s="2" t="s">
        <v>565</v>
      </c>
      <c r="B452" s="3" t="n">
        <v>46097</v>
      </c>
      <c r="C452" s="2" t="s">
        <v>35</v>
      </c>
      <c r="D452" s="2" t="s">
        <v>36</v>
      </c>
      <c r="E452" s="2" t="s">
        <v>15</v>
      </c>
      <c r="F452" s="2" t="s">
        <v>30</v>
      </c>
      <c r="G452" s="2" t="s">
        <v>17</v>
      </c>
      <c r="H452" s="2" t="s">
        <v>150</v>
      </c>
      <c r="I452" s="2"/>
      <c r="J452" s="2" t="s">
        <v>20</v>
      </c>
      <c r="K452" s="3" t="n">
        <v>46125</v>
      </c>
      <c r="L452" s="2" t="s">
        <v>114</v>
      </c>
    </row>
    <row r="453" customFormat="false" ht="12.75" hidden="false" customHeight="false" outlineLevel="0" collapsed="false">
      <c r="A453" s="2" t="s">
        <v>566</v>
      </c>
      <c r="B453" s="3" t="n">
        <v>46118</v>
      </c>
      <c r="C453" s="2" t="s">
        <v>13</v>
      </c>
      <c r="D453" s="2" t="s">
        <v>70</v>
      </c>
      <c r="E453" s="2" t="s">
        <v>15</v>
      </c>
      <c r="F453" s="2" t="s">
        <v>16</v>
      </c>
      <c r="G453" s="2" t="s">
        <v>17</v>
      </c>
      <c r="H453" s="2" t="s">
        <v>18</v>
      </c>
      <c r="I453" s="2" t="s">
        <v>40</v>
      </c>
      <c r="J453" s="2" t="s">
        <v>111</v>
      </c>
      <c r="K453" s="2"/>
      <c r="L453" s="2" t="s">
        <v>114</v>
      </c>
    </row>
    <row r="454" customFormat="false" ht="12.75" hidden="false" customHeight="false" outlineLevel="0" collapsed="false">
      <c r="A454" s="2" t="s">
        <v>567</v>
      </c>
      <c r="B454" s="3" t="n">
        <v>46227</v>
      </c>
      <c r="C454" s="2" t="s">
        <v>131</v>
      </c>
      <c r="D454" s="2" t="s">
        <v>51</v>
      </c>
      <c r="E454" s="2" t="s">
        <v>66</v>
      </c>
      <c r="F454" s="2" t="s">
        <v>24</v>
      </c>
      <c r="G454" s="2" t="s">
        <v>17</v>
      </c>
      <c r="H454" s="2" t="s">
        <v>18</v>
      </c>
      <c r="I454" s="2" t="s">
        <v>53</v>
      </c>
      <c r="J454" s="2" t="s">
        <v>20</v>
      </c>
      <c r="K454" s="3" t="n">
        <v>46228</v>
      </c>
      <c r="L454" s="2" t="s">
        <v>136</v>
      </c>
    </row>
    <row r="455" customFormat="false" ht="12.75" hidden="false" customHeight="false" outlineLevel="0" collapsed="false">
      <c r="A455" s="2" t="s">
        <v>568</v>
      </c>
      <c r="B455" s="3" t="n">
        <v>46133</v>
      </c>
      <c r="C455" s="2" t="s">
        <v>43</v>
      </c>
      <c r="D455" s="2" t="s">
        <v>51</v>
      </c>
      <c r="E455" s="2" t="s">
        <v>37</v>
      </c>
      <c r="F455" s="2" t="s">
        <v>24</v>
      </c>
      <c r="G455" s="2" t="s">
        <v>17</v>
      </c>
      <c r="H455" s="2" t="s">
        <v>110</v>
      </c>
      <c r="I455" s="2"/>
      <c r="J455" s="2" t="s">
        <v>20</v>
      </c>
      <c r="K455" s="3" t="n">
        <v>46134</v>
      </c>
      <c r="L455" s="2" t="s">
        <v>144</v>
      </c>
    </row>
    <row r="456" customFormat="false" ht="12.75" hidden="false" customHeight="false" outlineLevel="0" collapsed="false">
      <c r="A456" s="2" t="s">
        <v>569</v>
      </c>
      <c r="B456" s="3" t="n">
        <v>46199</v>
      </c>
      <c r="C456" s="2" t="s">
        <v>131</v>
      </c>
      <c r="D456" s="2" t="s">
        <v>70</v>
      </c>
      <c r="E456" s="2" t="s">
        <v>52</v>
      </c>
      <c r="F456" s="2" t="s">
        <v>24</v>
      </c>
      <c r="G456" s="2" t="s">
        <v>17</v>
      </c>
      <c r="H456" s="2" t="s">
        <v>18</v>
      </c>
      <c r="I456" s="2" t="s">
        <v>19</v>
      </c>
      <c r="J456" s="2" t="s">
        <v>20</v>
      </c>
      <c r="K456" s="3" t="n">
        <v>46223</v>
      </c>
      <c r="L456" s="2" t="s">
        <v>54</v>
      </c>
    </row>
    <row r="457" customFormat="false" ht="12.75" hidden="false" customHeight="false" outlineLevel="0" collapsed="false">
      <c r="A457" s="2" t="s">
        <v>570</v>
      </c>
      <c r="B457" s="3" t="n">
        <v>46220</v>
      </c>
      <c r="C457" s="2" t="s">
        <v>22</v>
      </c>
      <c r="D457" s="2" t="s">
        <v>70</v>
      </c>
      <c r="E457" s="2" t="s">
        <v>66</v>
      </c>
      <c r="F457" s="2" t="s">
        <v>24</v>
      </c>
      <c r="G457" s="2" t="s">
        <v>17</v>
      </c>
      <c r="H457" s="2" t="s">
        <v>18</v>
      </c>
      <c r="I457" s="2" t="s">
        <v>53</v>
      </c>
      <c r="J457" s="2" t="s">
        <v>134</v>
      </c>
      <c r="K457" s="3" t="n">
        <v>46245</v>
      </c>
      <c r="L457" s="2" t="s">
        <v>86</v>
      </c>
    </row>
    <row r="458" customFormat="false" ht="12.75" hidden="false" customHeight="false" outlineLevel="0" collapsed="false">
      <c r="A458" s="2" t="s">
        <v>571</v>
      </c>
      <c r="B458" s="3" t="n">
        <v>46137</v>
      </c>
      <c r="C458" s="2" t="s">
        <v>103</v>
      </c>
      <c r="D458" s="2" t="s">
        <v>157</v>
      </c>
      <c r="E458" s="2" t="s">
        <v>15</v>
      </c>
      <c r="F458" s="2" t="s">
        <v>30</v>
      </c>
      <c r="G458" s="2" t="s">
        <v>17</v>
      </c>
      <c r="H458" s="2" t="s">
        <v>110</v>
      </c>
      <c r="I458" s="2" t="s">
        <v>19</v>
      </c>
      <c r="J458" s="2" t="s">
        <v>31</v>
      </c>
      <c r="K458" s="3" t="n">
        <v>46149</v>
      </c>
      <c r="L458" s="2" t="s">
        <v>63</v>
      </c>
    </row>
    <row r="459" customFormat="false" ht="12.75" hidden="false" customHeight="false" outlineLevel="0" collapsed="false">
      <c r="A459" s="2" t="s">
        <v>572</v>
      </c>
      <c r="B459" s="3" t="n">
        <v>46096</v>
      </c>
      <c r="C459" s="2" t="s">
        <v>22</v>
      </c>
      <c r="D459" s="2" t="s">
        <v>70</v>
      </c>
      <c r="E459" s="2" t="s">
        <v>52</v>
      </c>
      <c r="F459" s="2" t="s">
        <v>24</v>
      </c>
      <c r="G459" s="2" t="s">
        <v>17</v>
      </c>
      <c r="H459" s="2" t="s">
        <v>179</v>
      </c>
      <c r="I459" s="2" t="s">
        <v>25</v>
      </c>
      <c r="J459" s="2" t="s">
        <v>58</v>
      </c>
      <c r="K459" s="2"/>
      <c r="L459" s="2" t="s">
        <v>95</v>
      </c>
    </row>
    <row r="460" customFormat="false" ht="12.75" hidden="false" customHeight="false" outlineLevel="0" collapsed="false">
      <c r="A460" s="2" t="s">
        <v>573</v>
      </c>
      <c r="B460" s="3" t="n">
        <v>46121</v>
      </c>
      <c r="C460" s="2" t="s">
        <v>61</v>
      </c>
      <c r="D460" s="2" t="s">
        <v>51</v>
      </c>
      <c r="E460" s="2" t="s">
        <v>15</v>
      </c>
      <c r="F460" s="2" t="s">
        <v>24</v>
      </c>
      <c r="G460" s="2" t="s">
        <v>17</v>
      </c>
      <c r="H460" s="2" t="s">
        <v>49</v>
      </c>
      <c r="I460" s="2" t="s">
        <v>40</v>
      </c>
      <c r="J460" s="2" t="s">
        <v>20</v>
      </c>
      <c r="K460" s="3" t="n">
        <v>46125</v>
      </c>
      <c r="L460" s="2" t="s">
        <v>78</v>
      </c>
    </row>
    <row r="461" customFormat="false" ht="12.75" hidden="false" customHeight="false" outlineLevel="0" collapsed="false">
      <c r="A461" s="2" t="s">
        <v>574</v>
      </c>
      <c r="B461" s="3" t="n">
        <v>46178</v>
      </c>
      <c r="C461" s="2" t="s">
        <v>35</v>
      </c>
      <c r="D461" s="2" t="s">
        <v>23</v>
      </c>
      <c r="E461" s="2" t="s">
        <v>52</v>
      </c>
      <c r="F461" s="2" t="s">
        <v>24</v>
      </c>
      <c r="G461" s="2" t="s">
        <v>17</v>
      </c>
      <c r="H461" s="2" t="s">
        <v>18</v>
      </c>
      <c r="I461" s="2" t="s">
        <v>25</v>
      </c>
      <c r="J461" s="2" t="s">
        <v>71</v>
      </c>
      <c r="K461" s="2"/>
      <c r="L461" s="2" t="s">
        <v>97</v>
      </c>
    </row>
    <row r="462" customFormat="false" ht="12.75" hidden="false" customHeight="false" outlineLevel="0" collapsed="false">
      <c r="A462" s="2" t="s">
        <v>575</v>
      </c>
      <c r="B462" s="3" t="n">
        <v>46205</v>
      </c>
      <c r="C462" s="2" t="s">
        <v>164</v>
      </c>
      <c r="D462" s="2" t="s">
        <v>100</v>
      </c>
      <c r="E462" s="2" t="s">
        <v>15</v>
      </c>
      <c r="F462" s="2" t="s">
        <v>38</v>
      </c>
      <c r="G462" s="2" t="s">
        <v>39</v>
      </c>
      <c r="H462" s="2" t="s">
        <v>49</v>
      </c>
      <c r="I462" s="2" t="s">
        <v>53</v>
      </c>
      <c r="J462" s="2" t="s">
        <v>20</v>
      </c>
      <c r="K462" s="3" t="n">
        <v>46218</v>
      </c>
      <c r="L462" s="2" t="s">
        <v>41</v>
      </c>
    </row>
    <row r="463" customFormat="false" ht="12.75" hidden="false" customHeight="false" outlineLevel="0" collapsed="false">
      <c r="A463" s="2" t="s">
        <v>576</v>
      </c>
      <c r="B463" s="3" t="n">
        <v>46035</v>
      </c>
      <c r="C463" s="2" t="s">
        <v>113</v>
      </c>
      <c r="D463" s="2" t="s">
        <v>65</v>
      </c>
      <c r="E463" s="2" t="s">
        <v>66</v>
      </c>
      <c r="F463" s="2" t="s">
        <v>24</v>
      </c>
      <c r="G463" s="2" t="s">
        <v>17</v>
      </c>
      <c r="H463" s="2" t="s">
        <v>49</v>
      </c>
      <c r="I463" s="2" t="s">
        <v>81</v>
      </c>
      <c r="J463" s="2" t="s">
        <v>71</v>
      </c>
      <c r="K463" s="3" t="n">
        <v>46040</v>
      </c>
      <c r="L463" s="2" t="s">
        <v>136</v>
      </c>
    </row>
    <row r="464" customFormat="false" ht="12.75" hidden="false" customHeight="false" outlineLevel="0" collapsed="false">
      <c r="A464" s="2" t="s">
        <v>577</v>
      </c>
      <c r="B464" s="3" t="n">
        <v>46137</v>
      </c>
      <c r="C464" s="2" t="s">
        <v>205</v>
      </c>
      <c r="D464" s="2" t="s">
        <v>56</v>
      </c>
      <c r="E464" s="2" t="s">
        <v>15</v>
      </c>
      <c r="F464" s="2" t="s">
        <v>30</v>
      </c>
      <c r="G464" s="2" t="s">
        <v>17</v>
      </c>
      <c r="H464" s="2" t="s">
        <v>49</v>
      </c>
      <c r="I464" s="2" t="s">
        <v>25</v>
      </c>
      <c r="J464" s="2" t="s">
        <v>83</v>
      </c>
      <c r="K464" s="2"/>
      <c r="L464" s="2" t="s">
        <v>114</v>
      </c>
    </row>
    <row r="465" customFormat="false" ht="12.75" hidden="false" customHeight="false" outlineLevel="0" collapsed="false">
      <c r="A465" s="2" t="s">
        <v>578</v>
      </c>
      <c r="B465" s="3" t="n">
        <v>46221</v>
      </c>
      <c r="C465" s="2" t="s">
        <v>22</v>
      </c>
      <c r="D465" s="2" t="s">
        <v>23</v>
      </c>
      <c r="E465" s="2" t="s">
        <v>66</v>
      </c>
      <c r="F465" s="2" t="s">
        <v>48</v>
      </c>
      <c r="G465" s="2" t="s">
        <v>17</v>
      </c>
      <c r="H465" s="2" t="s">
        <v>49</v>
      </c>
      <c r="I465" s="2" t="s">
        <v>40</v>
      </c>
      <c r="J465" s="2" t="s">
        <v>58</v>
      </c>
      <c r="K465" s="2"/>
      <c r="L465" s="2" t="s">
        <v>136</v>
      </c>
    </row>
    <row r="466" customFormat="false" ht="12.75" hidden="false" customHeight="false" outlineLevel="0" collapsed="false">
      <c r="A466" s="2" t="s">
        <v>579</v>
      </c>
      <c r="B466" s="3" t="n">
        <v>46124</v>
      </c>
      <c r="C466" s="2" t="s">
        <v>131</v>
      </c>
      <c r="D466" s="2" t="s">
        <v>51</v>
      </c>
      <c r="E466" s="2" t="s">
        <v>37</v>
      </c>
      <c r="F466" s="2" t="s">
        <v>38</v>
      </c>
      <c r="G466" s="2" t="s">
        <v>39</v>
      </c>
      <c r="H466" s="2" t="s">
        <v>150</v>
      </c>
      <c r="I466" s="2" t="s">
        <v>40</v>
      </c>
      <c r="J466" s="2" t="s">
        <v>83</v>
      </c>
      <c r="K466" s="2"/>
      <c r="L466" s="2" t="s">
        <v>41</v>
      </c>
    </row>
    <row r="467" customFormat="false" ht="12.75" hidden="false" customHeight="false" outlineLevel="0" collapsed="false">
      <c r="A467" s="2" t="s">
        <v>580</v>
      </c>
      <c r="B467" s="3" t="n">
        <v>46047</v>
      </c>
      <c r="C467" s="2" t="s">
        <v>22</v>
      </c>
      <c r="D467" s="2" t="s">
        <v>215</v>
      </c>
      <c r="E467" s="2" t="s">
        <v>15</v>
      </c>
      <c r="F467" s="2" t="s">
        <v>24</v>
      </c>
      <c r="G467" s="2" t="s">
        <v>17</v>
      </c>
      <c r="H467" s="2" t="s">
        <v>93</v>
      </c>
      <c r="I467" s="2" t="s">
        <v>40</v>
      </c>
      <c r="J467" s="2" t="s">
        <v>20</v>
      </c>
      <c r="K467" s="3" t="n">
        <v>46059</v>
      </c>
      <c r="L467" s="2" t="s">
        <v>78</v>
      </c>
    </row>
    <row r="468" customFormat="false" ht="12.75" hidden="false" customHeight="false" outlineLevel="0" collapsed="false">
      <c r="A468" s="2" t="s">
        <v>581</v>
      </c>
      <c r="B468" s="3" t="n">
        <v>46122</v>
      </c>
      <c r="C468" s="2" t="s">
        <v>202</v>
      </c>
      <c r="D468" s="2" t="s">
        <v>23</v>
      </c>
      <c r="E468" s="2" t="s">
        <v>15</v>
      </c>
      <c r="F468" s="2" t="s">
        <v>30</v>
      </c>
      <c r="G468" s="2" t="s">
        <v>17</v>
      </c>
      <c r="H468" s="2" t="s">
        <v>49</v>
      </c>
      <c r="I468" s="2" t="s">
        <v>40</v>
      </c>
      <c r="J468" s="2" t="s">
        <v>83</v>
      </c>
      <c r="K468" s="2"/>
      <c r="L468" s="2" t="s">
        <v>26</v>
      </c>
    </row>
    <row r="469" customFormat="false" ht="12.75" hidden="false" customHeight="false" outlineLevel="0" collapsed="false">
      <c r="A469" s="2" t="s">
        <v>582</v>
      </c>
      <c r="B469" s="3" t="n">
        <v>46143</v>
      </c>
      <c r="C469" s="2" t="s">
        <v>61</v>
      </c>
      <c r="D469" s="2" t="s">
        <v>56</v>
      </c>
      <c r="E469" s="2" t="s">
        <v>37</v>
      </c>
      <c r="F469" s="2" t="s">
        <v>48</v>
      </c>
      <c r="G469" s="2" t="s">
        <v>17</v>
      </c>
      <c r="H469" s="2" t="s">
        <v>18</v>
      </c>
      <c r="I469" s="2" t="s">
        <v>19</v>
      </c>
      <c r="J469" s="2" t="s">
        <v>134</v>
      </c>
      <c r="K469" s="3" t="n">
        <v>46150</v>
      </c>
      <c r="L469" s="2" t="s">
        <v>72</v>
      </c>
    </row>
    <row r="470" customFormat="false" ht="12.75" hidden="false" customHeight="false" outlineLevel="0" collapsed="false">
      <c r="A470" s="2" t="s">
        <v>583</v>
      </c>
      <c r="B470" s="3" t="n">
        <v>46108</v>
      </c>
      <c r="C470" s="2" t="s">
        <v>28</v>
      </c>
      <c r="D470" s="2" t="s">
        <v>51</v>
      </c>
      <c r="E470" s="2" t="s">
        <v>52</v>
      </c>
      <c r="F470" s="2" t="s">
        <v>30</v>
      </c>
      <c r="G470" s="2" t="s">
        <v>17</v>
      </c>
      <c r="H470" s="2" t="s">
        <v>49</v>
      </c>
      <c r="I470" s="2" t="s">
        <v>40</v>
      </c>
      <c r="J470" s="2" t="s">
        <v>20</v>
      </c>
      <c r="K470" s="3" t="n">
        <v>46136</v>
      </c>
      <c r="L470" s="2"/>
    </row>
    <row r="471" customFormat="false" ht="12.75" hidden="false" customHeight="false" outlineLevel="0" collapsed="false">
      <c r="A471" s="2" t="s">
        <v>584</v>
      </c>
      <c r="B471" s="3" t="n">
        <v>46129</v>
      </c>
      <c r="C471" s="2" t="s">
        <v>13</v>
      </c>
      <c r="D471" s="2" t="s">
        <v>23</v>
      </c>
      <c r="E471" s="2" t="s">
        <v>37</v>
      </c>
      <c r="F471" s="2" t="s">
        <v>16</v>
      </c>
      <c r="G471" s="2" t="s">
        <v>17</v>
      </c>
      <c r="H471" s="2" t="s">
        <v>49</v>
      </c>
      <c r="I471" s="2" t="s">
        <v>53</v>
      </c>
      <c r="J471" s="2" t="s">
        <v>58</v>
      </c>
      <c r="K471" s="2"/>
      <c r="L471" s="2" t="s">
        <v>59</v>
      </c>
    </row>
    <row r="472" customFormat="false" ht="12.75" hidden="false" customHeight="false" outlineLevel="0" collapsed="false">
      <c r="A472" s="2" t="s">
        <v>585</v>
      </c>
      <c r="B472" s="3" t="n">
        <v>46039</v>
      </c>
      <c r="C472" s="2" t="s">
        <v>131</v>
      </c>
      <c r="D472" s="2" t="s">
        <v>47</v>
      </c>
      <c r="E472" s="2" t="s">
        <v>66</v>
      </c>
      <c r="F472" s="2" t="s">
        <v>30</v>
      </c>
      <c r="G472" s="2" t="s">
        <v>17</v>
      </c>
      <c r="H472" s="2" t="s">
        <v>150</v>
      </c>
      <c r="I472" s="2" t="s">
        <v>53</v>
      </c>
      <c r="J472" s="2" t="s">
        <v>129</v>
      </c>
      <c r="K472" s="2"/>
      <c r="L472" s="2" t="s">
        <v>67</v>
      </c>
    </row>
    <row r="473" customFormat="false" ht="12.75" hidden="false" customHeight="false" outlineLevel="0" collapsed="false">
      <c r="A473" s="2" t="s">
        <v>586</v>
      </c>
      <c r="B473" s="3" t="n">
        <v>46084</v>
      </c>
      <c r="C473" s="2" t="s">
        <v>13</v>
      </c>
      <c r="D473" s="2" t="s">
        <v>23</v>
      </c>
      <c r="E473" s="2"/>
      <c r="F473" s="2" t="s">
        <v>48</v>
      </c>
      <c r="G473" s="2" t="s">
        <v>17</v>
      </c>
      <c r="H473" s="2" t="s">
        <v>18</v>
      </c>
      <c r="I473" s="2" t="s">
        <v>40</v>
      </c>
      <c r="J473" s="2" t="s">
        <v>182</v>
      </c>
      <c r="K473" s="3" t="n">
        <v>46097</v>
      </c>
      <c r="L473" s="2" t="s">
        <v>136</v>
      </c>
    </row>
    <row r="474" customFormat="false" ht="12.75" hidden="false" customHeight="false" outlineLevel="0" collapsed="false">
      <c r="A474" s="2" t="s">
        <v>587</v>
      </c>
      <c r="B474" s="3" t="n">
        <v>46187</v>
      </c>
      <c r="C474" s="2" t="s">
        <v>123</v>
      </c>
      <c r="D474" s="2" t="s">
        <v>70</v>
      </c>
      <c r="E474" s="2" t="s">
        <v>15</v>
      </c>
      <c r="F474" s="2" t="s">
        <v>24</v>
      </c>
      <c r="G474" s="2" t="s">
        <v>17</v>
      </c>
      <c r="H474" s="2" t="s">
        <v>57</v>
      </c>
      <c r="I474" s="2" t="s">
        <v>53</v>
      </c>
      <c r="J474" s="2" t="s">
        <v>20</v>
      </c>
      <c r="K474" s="3" t="n">
        <v>46189</v>
      </c>
      <c r="L474" s="2" t="s">
        <v>63</v>
      </c>
    </row>
    <row r="475" customFormat="false" ht="12.75" hidden="false" customHeight="false" outlineLevel="0" collapsed="false">
      <c r="A475" s="2" t="s">
        <v>588</v>
      </c>
      <c r="B475" s="3" t="n">
        <v>46129</v>
      </c>
      <c r="C475" s="2" t="s">
        <v>22</v>
      </c>
      <c r="D475" s="2" t="s">
        <v>56</v>
      </c>
      <c r="E475" s="2" t="s">
        <v>37</v>
      </c>
      <c r="F475" s="2" t="s">
        <v>24</v>
      </c>
      <c r="G475" s="2" t="s">
        <v>17</v>
      </c>
      <c r="H475" s="2" t="s">
        <v>49</v>
      </c>
      <c r="I475" s="2" t="s">
        <v>81</v>
      </c>
      <c r="J475" s="2" t="s">
        <v>20</v>
      </c>
      <c r="K475" s="3" t="n">
        <v>46157</v>
      </c>
      <c r="L475" s="2" t="s">
        <v>144</v>
      </c>
    </row>
    <row r="476" customFormat="false" ht="12.75" hidden="false" customHeight="false" outlineLevel="0" collapsed="false">
      <c r="A476" s="2" t="s">
        <v>589</v>
      </c>
      <c r="B476" s="2" t="s">
        <v>590</v>
      </c>
      <c r="C476" s="2" t="s">
        <v>43</v>
      </c>
      <c r="D476" s="2" t="s">
        <v>100</v>
      </c>
      <c r="E476" s="2" t="s">
        <v>15</v>
      </c>
      <c r="F476" s="2" t="s">
        <v>48</v>
      </c>
      <c r="G476" s="2" t="s">
        <v>17</v>
      </c>
      <c r="H476" s="2" t="s">
        <v>18</v>
      </c>
      <c r="I476" s="2" t="s">
        <v>53</v>
      </c>
      <c r="J476" s="2" t="s">
        <v>71</v>
      </c>
      <c r="K476" s="3" t="n">
        <v>46175</v>
      </c>
      <c r="L476" s="2" t="s">
        <v>114</v>
      </c>
    </row>
    <row r="477" customFormat="false" ht="12.75" hidden="false" customHeight="false" outlineLevel="0" collapsed="false">
      <c r="A477" s="2" t="s">
        <v>591</v>
      </c>
      <c r="B477" s="3" t="n">
        <v>46050</v>
      </c>
      <c r="C477" s="2" t="s">
        <v>13</v>
      </c>
      <c r="D477" s="2" t="s">
        <v>65</v>
      </c>
      <c r="E477" s="2" t="s">
        <v>52</v>
      </c>
      <c r="F477" s="2" t="s">
        <v>16</v>
      </c>
      <c r="G477" s="2" t="s">
        <v>17</v>
      </c>
      <c r="H477" s="2" t="s">
        <v>18</v>
      </c>
      <c r="I477" s="2" t="s">
        <v>40</v>
      </c>
      <c r="J477" s="2" t="s">
        <v>182</v>
      </c>
      <c r="K477" s="2"/>
      <c r="L477" s="2" t="s">
        <v>95</v>
      </c>
    </row>
    <row r="478" customFormat="false" ht="12.75" hidden="false" customHeight="false" outlineLevel="0" collapsed="false">
      <c r="A478" s="2" t="s">
        <v>465</v>
      </c>
      <c r="B478" s="3" t="n">
        <v>46050</v>
      </c>
      <c r="C478" s="2" t="s">
        <v>61</v>
      </c>
      <c r="D478" s="2" t="s">
        <v>154</v>
      </c>
      <c r="E478" s="2" t="s">
        <v>52</v>
      </c>
      <c r="F478" s="2" t="s">
        <v>48</v>
      </c>
      <c r="G478" s="2" t="s">
        <v>17</v>
      </c>
      <c r="H478" s="2" t="s">
        <v>49</v>
      </c>
      <c r="I478" s="2" t="s">
        <v>40</v>
      </c>
      <c r="J478" s="2" t="s">
        <v>20</v>
      </c>
      <c r="K478" s="3" t="n">
        <v>46046</v>
      </c>
      <c r="L478" s="2" t="s">
        <v>54</v>
      </c>
    </row>
    <row r="479" customFormat="false" ht="12.75" hidden="false" customHeight="false" outlineLevel="0" collapsed="false">
      <c r="A479" s="2" t="s">
        <v>592</v>
      </c>
      <c r="B479" s="3" t="n">
        <v>46117</v>
      </c>
      <c r="C479" s="2" t="s">
        <v>28</v>
      </c>
      <c r="D479" s="2" t="s">
        <v>47</v>
      </c>
      <c r="E479" s="2" t="s">
        <v>66</v>
      </c>
      <c r="F479" s="2" t="s">
        <v>48</v>
      </c>
      <c r="G479" s="2" t="s">
        <v>17</v>
      </c>
      <c r="H479" s="2" t="s">
        <v>18</v>
      </c>
      <c r="I479" s="2" t="s">
        <v>40</v>
      </c>
      <c r="J479" s="2" t="s">
        <v>58</v>
      </c>
      <c r="K479" s="2"/>
      <c r="L479" s="2" t="s">
        <v>67</v>
      </c>
    </row>
    <row r="480" customFormat="false" ht="12.75" hidden="false" customHeight="false" outlineLevel="0" collapsed="false">
      <c r="A480" s="2" t="s">
        <v>593</v>
      </c>
      <c r="B480" s="3" t="n">
        <v>46050</v>
      </c>
      <c r="C480" s="2" t="s">
        <v>127</v>
      </c>
      <c r="D480" s="2" t="s">
        <v>203</v>
      </c>
      <c r="E480" s="2" t="s">
        <v>29</v>
      </c>
      <c r="F480" s="2" t="s">
        <v>38</v>
      </c>
      <c r="G480" s="2" t="s">
        <v>39</v>
      </c>
      <c r="H480" s="2" t="s">
        <v>49</v>
      </c>
      <c r="I480" s="2" t="s">
        <v>19</v>
      </c>
      <c r="J480" s="2" t="s">
        <v>20</v>
      </c>
      <c r="K480" s="3" t="n">
        <v>46077</v>
      </c>
      <c r="L480" s="2" t="s">
        <v>41</v>
      </c>
    </row>
    <row r="481" customFormat="false" ht="12.75" hidden="false" customHeight="false" outlineLevel="0" collapsed="false">
      <c r="A481" s="2" t="s">
        <v>594</v>
      </c>
      <c r="B481" s="3" t="n">
        <v>46119</v>
      </c>
      <c r="C481" s="2" t="s">
        <v>35</v>
      </c>
      <c r="D481" s="2" t="s">
        <v>56</v>
      </c>
      <c r="E481" s="2" t="s">
        <v>29</v>
      </c>
      <c r="F481" s="2" t="s">
        <v>16</v>
      </c>
      <c r="G481" s="2" t="s">
        <v>17</v>
      </c>
      <c r="H481" s="2" t="s">
        <v>110</v>
      </c>
      <c r="I481" s="2" t="s">
        <v>40</v>
      </c>
      <c r="J481" s="2" t="s">
        <v>20</v>
      </c>
      <c r="K481" s="3" t="n">
        <v>46126</v>
      </c>
      <c r="L481" s="2" t="s">
        <v>45</v>
      </c>
    </row>
    <row r="482" customFormat="false" ht="12.75" hidden="false" customHeight="false" outlineLevel="0" collapsed="false">
      <c r="A482" s="2" t="s">
        <v>595</v>
      </c>
      <c r="B482" s="3" t="n">
        <v>46088</v>
      </c>
      <c r="C482" s="2" t="s">
        <v>22</v>
      </c>
      <c r="D482" s="2" t="s">
        <v>100</v>
      </c>
      <c r="E482" s="2" t="s">
        <v>52</v>
      </c>
      <c r="F482" s="2" t="s">
        <v>30</v>
      </c>
      <c r="G482" s="2" t="s">
        <v>17</v>
      </c>
      <c r="H482" s="2" t="s">
        <v>18</v>
      </c>
      <c r="I482" s="2" t="s">
        <v>25</v>
      </c>
      <c r="J482" s="2" t="s">
        <v>71</v>
      </c>
      <c r="K482" s="3" t="n">
        <v>46090</v>
      </c>
      <c r="L482" s="2" t="s">
        <v>54</v>
      </c>
    </row>
    <row r="483" customFormat="false" ht="12.75" hidden="false" customHeight="false" outlineLevel="0" collapsed="false">
      <c r="A483" s="2" t="s">
        <v>596</v>
      </c>
      <c r="B483" s="3" t="n">
        <v>46072</v>
      </c>
      <c r="C483" s="2" t="s">
        <v>43</v>
      </c>
      <c r="D483" s="2" t="s">
        <v>47</v>
      </c>
      <c r="E483" s="2" t="s">
        <v>66</v>
      </c>
      <c r="F483" s="2" t="s">
        <v>24</v>
      </c>
      <c r="G483" s="2" t="s">
        <v>17</v>
      </c>
      <c r="H483" s="2" t="s">
        <v>80</v>
      </c>
      <c r="I483" s="2" t="s">
        <v>53</v>
      </c>
      <c r="J483" s="2" t="s">
        <v>20</v>
      </c>
      <c r="K483" s="3" t="n">
        <v>46081</v>
      </c>
      <c r="L483" s="2" t="s">
        <v>67</v>
      </c>
    </row>
    <row r="484" customFormat="false" ht="12.75" hidden="false" customHeight="false" outlineLevel="0" collapsed="false">
      <c r="A484" s="2" t="s">
        <v>290</v>
      </c>
      <c r="B484" s="3" t="n">
        <v>46031</v>
      </c>
      <c r="C484" s="2" t="s">
        <v>192</v>
      </c>
      <c r="D484" s="2" t="s">
        <v>100</v>
      </c>
      <c r="E484" s="2" t="s">
        <v>37</v>
      </c>
      <c r="F484" s="2" t="s">
        <v>24</v>
      </c>
      <c r="G484" s="2" t="s">
        <v>17</v>
      </c>
      <c r="H484" s="2" t="s">
        <v>18</v>
      </c>
      <c r="I484" s="2" t="s">
        <v>53</v>
      </c>
      <c r="J484" s="2" t="s">
        <v>108</v>
      </c>
      <c r="K484" s="2"/>
      <c r="L484" s="2" t="s">
        <v>144</v>
      </c>
    </row>
    <row r="485" customFormat="false" ht="12.75" hidden="false" customHeight="false" outlineLevel="0" collapsed="false">
      <c r="A485" s="2" t="s">
        <v>597</v>
      </c>
      <c r="B485" s="3" t="n">
        <v>46197</v>
      </c>
      <c r="C485" s="2" t="s">
        <v>43</v>
      </c>
      <c r="D485" s="2" t="s">
        <v>92</v>
      </c>
      <c r="E485" s="2" t="s">
        <v>29</v>
      </c>
      <c r="F485" s="2" t="s">
        <v>16</v>
      </c>
      <c r="G485" s="2" t="s">
        <v>17</v>
      </c>
      <c r="H485" s="2" t="s">
        <v>93</v>
      </c>
      <c r="I485" s="2"/>
      <c r="J485" s="2" t="s">
        <v>20</v>
      </c>
      <c r="K485" s="3" t="n">
        <v>46203</v>
      </c>
      <c r="L485" s="2" t="s">
        <v>104</v>
      </c>
    </row>
    <row r="486" customFormat="false" ht="12.75" hidden="false" customHeight="false" outlineLevel="0" collapsed="false">
      <c r="A486" s="2" t="s">
        <v>598</v>
      </c>
      <c r="B486" s="3" t="n">
        <v>46122</v>
      </c>
      <c r="C486" s="2" t="s">
        <v>13</v>
      </c>
      <c r="D486" s="2" t="s">
        <v>47</v>
      </c>
      <c r="E486" s="2" t="s">
        <v>52</v>
      </c>
      <c r="F486" s="2" t="s">
        <v>30</v>
      </c>
      <c r="G486" s="2" t="s">
        <v>17</v>
      </c>
      <c r="H486" s="2" t="s">
        <v>18</v>
      </c>
      <c r="I486" s="2"/>
      <c r="J486" s="2" t="s">
        <v>20</v>
      </c>
      <c r="K486" s="3" t="n">
        <v>46127</v>
      </c>
      <c r="L486" s="2" t="s">
        <v>97</v>
      </c>
    </row>
    <row r="487" customFormat="false" ht="12.75" hidden="false" customHeight="false" outlineLevel="0" collapsed="false">
      <c r="A487" s="2" t="s">
        <v>599</v>
      </c>
      <c r="B487" s="3" t="n">
        <v>46156</v>
      </c>
      <c r="C487" s="2" t="s">
        <v>13</v>
      </c>
      <c r="D487" s="2" t="s">
        <v>154</v>
      </c>
      <c r="E487" s="2" t="s">
        <v>52</v>
      </c>
      <c r="F487" s="2" t="s">
        <v>24</v>
      </c>
      <c r="G487" s="2" t="s">
        <v>17</v>
      </c>
      <c r="H487" s="2" t="s">
        <v>18</v>
      </c>
      <c r="I487" s="2" t="s">
        <v>53</v>
      </c>
      <c r="J487" s="2" t="s">
        <v>83</v>
      </c>
      <c r="K487" s="2"/>
      <c r="L487" s="2" t="s">
        <v>88</v>
      </c>
    </row>
    <row r="488" customFormat="false" ht="12.75" hidden="false" customHeight="false" outlineLevel="0" collapsed="false">
      <c r="A488" s="2" t="s">
        <v>600</v>
      </c>
      <c r="B488" s="3" t="n">
        <v>46115</v>
      </c>
      <c r="C488" s="2" t="s">
        <v>28</v>
      </c>
      <c r="D488" s="2" t="s">
        <v>70</v>
      </c>
      <c r="E488" s="2" t="s">
        <v>29</v>
      </c>
      <c r="F488" s="2" t="s">
        <v>48</v>
      </c>
      <c r="G488" s="2" t="s">
        <v>17</v>
      </c>
      <c r="H488" s="2" t="s">
        <v>18</v>
      </c>
      <c r="I488" s="2" t="s">
        <v>25</v>
      </c>
      <c r="J488" s="2" t="s">
        <v>31</v>
      </c>
      <c r="K488" s="3" t="n">
        <v>46119</v>
      </c>
      <c r="L488" s="2" t="s">
        <v>104</v>
      </c>
    </row>
    <row r="489" customFormat="false" ht="12.75" hidden="false" customHeight="false" outlineLevel="0" collapsed="false">
      <c r="A489" s="2" t="s">
        <v>601</v>
      </c>
      <c r="B489" s="3" t="n">
        <v>46197</v>
      </c>
      <c r="C489" s="2" t="s">
        <v>22</v>
      </c>
      <c r="D489" s="2" t="s">
        <v>44</v>
      </c>
      <c r="E489" s="2" t="s">
        <v>52</v>
      </c>
      <c r="F489" s="2" t="s">
        <v>24</v>
      </c>
      <c r="G489" s="2" t="s">
        <v>17</v>
      </c>
      <c r="H489" s="2" t="s">
        <v>18</v>
      </c>
      <c r="I489" s="2" t="s">
        <v>25</v>
      </c>
      <c r="J489" s="2" t="s">
        <v>134</v>
      </c>
      <c r="K489" s="3" t="n">
        <v>46199</v>
      </c>
      <c r="L489" s="2" t="s">
        <v>54</v>
      </c>
    </row>
    <row r="490" customFormat="false" ht="12.75" hidden="false" customHeight="false" outlineLevel="0" collapsed="false">
      <c r="A490" s="2" t="s">
        <v>602</v>
      </c>
      <c r="B490" s="3" t="n">
        <v>46126</v>
      </c>
      <c r="C490" s="2" t="s">
        <v>28</v>
      </c>
      <c r="D490" s="2" t="s">
        <v>14</v>
      </c>
      <c r="E490" s="2" t="s">
        <v>29</v>
      </c>
      <c r="F490" s="2" t="s">
        <v>30</v>
      </c>
      <c r="G490" s="2" t="s">
        <v>17</v>
      </c>
      <c r="H490" s="2" t="s">
        <v>18</v>
      </c>
      <c r="I490" s="2" t="s">
        <v>53</v>
      </c>
      <c r="J490" s="2" t="s">
        <v>20</v>
      </c>
      <c r="K490" s="3" t="n">
        <v>46137</v>
      </c>
      <c r="L490" s="2" t="s">
        <v>45</v>
      </c>
    </row>
    <row r="491" customFormat="false" ht="12.75" hidden="false" customHeight="false" outlineLevel="0" collapsed="false">
      <c r="A491" s="2" t="s">
        <v>603</v>
      </c>
      <c r="B491" s="3" t="n">
        <v>46206</v>
      </c>
      <c r="C491" s="2" t="s">
        <v>22</v>
      </c>
      <c r="D491" s="2" t="s">
        <v>23</v>
      </c>
      <c r="E491" s="2" t="s">
        <v>37</v>
      </c>
      <c r="F491" s="2" t="s">
        <v>24</v>
      </c>
      <c r="G491" s="2" t="s">
        <v>17</v>
      </c>
      <c r="H491" s="2" t="s">
        <v>18</v>
      </c>
      <c r="I491" s="2" t="s">
        <v>53</v>
      </c>
      <c r="J491" s="2" t="s">
        <v>71</v>
      </c>
      <c r="K491" s="3" t="n">
        <v>46216</v>
      </c>
      <c r="L491" s="2" t="s">
        <v>59</v>
      </c>
    </row>
    <row r="492" customFormat="false" ht="12.75" hidden="false" customHeight="false" outlineLevel="0" collapsed="false">
      <c r="A492" s="2" t="s">
        <v>604</v>
      </c>
      <c r="B492" s="3" t="n">
        <v>46029</v>
      </c>
      <c r="C492" s="2" t="s">
        <v>127</v>
      </c>
      <c r="D492" s="2" t="s">
        <v>14</v>
      </c>
      <c r="E492" s="2" t="s">
        <v>52</v>
      </c>
      <c r="F492" s="2" t="s">
        <v>24</v>
      </c>
      <c r="G492" s="2" t="s">
        <v>17</v>
      </c>
      <c r="H492" s="2" t="s">
        <v>57</v>
      </c>
      <c r="I492" s="2" t="s">
        <v>19</v>
      </c>
      <c r="J492" s="2" t="s">
        <v>111</v>
      </c>
      <c r="K492" s="2"/>
      <c r="L492" s="2" t="s">
        <v>88</v>
      </c>
    </row>
    <row r="493" customFormat="false" ht="12.75" hidden="false" customHeight="false" outlineLevel="0" collapsed="false">
      <c r="A493" s="2" t="s">
        <v>604</v>
      </c>
      <c r="B493" s="3" t="n">
        <v>46029</v>
      </c>
      <c r="C493" s="2" t="s">
        <v>35</v>
      </c>
      <c r="D493" s="2" t="s">
        <v>14</v>
      </c>
      <c r="E493" s="2" t="s">
        <v>52</v>
      </c>
      <c r="F493" s="2" t="s">
        <v>24</v>
      </c>
      <c r="G493" s="2" t="s">
        <v>17</v>
      </c>
      <c r="H493" s="2" t="s">
        <v>57</v>
      </c>
      <c r="I493" s="2" t="s">
        <v>19</v>
      </c>
      <c r="J493" s="2" t="s">
        <v>111</v>
      </c>
      <c r="K493" s="2"/>
      <c r="L493" s="2" t="s">
        <v>88</v>
      </c>
    </row>
    <row r="494" customFormat="false" ht="12.75" hidden="false" customHeight="false" outlineLevel="0" collapsed="false">
      <c r="A494" s="2" t="s">
        <v>605</v>
      </c>
      <c r="B494" s="3" t="n">
        <v>46085</v>
      </c>
      <c r="C494" s="2" t="s">
        <v>28</v>
      </c>
      <c r="D494" s="2" t="s">
        <v>23</v>
      </c>
      <c r="E494" s="2" t="s">
        <v>15</v>
      </c>
      <c r="F494" s="2" t="s">
        <v>30</v>
      </c>
      <c r="G494" s="2" t="s">
        <v>17</v>
      </c>
      <c r="H494" s="2" t="s">
        <v>93</v>
      </c>
      <c r="I494" s="2" t="s">
        <v>53</v>
      </c>
      <c r="J494" s="2" t="s">
        <v>20</v>
      </c>
      <c r="K494" s="3" t="n">
        <v>46110</v>
      </c>
      <c r="L494" s="2" t="s">
        <v>26</v>
      </c>
    </row>
    <row r="495" customFormat="false" ht="12.75" hidden="false" customHeight="false" outlineLevel="0" collapsed="false">
      <c r="A495" s="2" t="s">
        <v>606</v>
      </c>
      <c r="B495" s="3" t="n">
        <v>46126</v>
      </c>
      <c r="C495" s="2" t="s">
        <v>123</v>
      </c>
      <c r="D495" s="2" t="s">
        <v>14</v>
      </c>
      <c r="E495" s="2" t="s">
        <v>37</v>
      </c>
      <c r="F495" s="2" t="s">
        <v>16</v>
      </c>
      <c r="G495" s="2" t="s">
        <v>17</v>
      </c>
      <c r="H495" s="2" t="s">
        <v>18</v>
      </c>
      <c r="I495" s="2" t="s">
        <v>25</v>
      </c>
      <c r="J495" s="2" t="s">
        <v>129</v>
      </c>
      <c r="K495" s="2"/>
      <c r="L495" s="2" t="s">
        <v>59</v>
      </c>
    </row>
    <row r="496" customFormat="false" ht="12.75" hidden="false" customHeight="false" outlineLevel="0" collapsed="false">
      <c r="A496" s="2" t="s">
        <v>607</v>
      </c>
      <c r="B496" s="3" t="n">
        <v>46037</v>
      </c>
      <c r="C496" s="2" t="s">
        <v>13</v>
      </c>
      <c r="D496" s="2" t="s">
        <v>100</v>
      </c>
      <c r="E496" s="2" t="s">
        <v>52</v>
      </c>
      <c r="F496" s="2" t="s">
        <v>48</v>
      </c>
      <c r="G496" s="2" t="s">
        <v>17</v>
      </c>
      <c r="H496" s="2" t="s">
        <v>18</v>
      </c>
      <c r="I496" s="2" t="s">
        <v>40</v>
      </c>
      <c r="J496" s="2" t="s">
        <v>20</v>
      </c>
      <c r="K496" s="3" t="n">
        <v>46061</v>
      </c>
      <c r="L496" s="2" t="s">
        <v>88</v>
      </c>
    </row>
    <row r="497" customFormat="false" ht="12.75" hidden="false" customHeight="false" outlineLevel="0" collapsed="false">
      <c r="A497" s="2" t="s">
        <v>608</v>
      </c>
      <c r="B497" s="3" t="n">
        <v>46122</v>
      </c>
      <c r="C497" s="2" t="s">
        <v>28</v>
      </c>
      <c r="D497" s="2" t="s">
        <v>169</v>
      </c>
      <c r="E497" s="2"/>
      <c r="F497" s="2" t="s">
        <v>24</v>
      </c>
      <c r="G497" s="2" t="s">
        <v>17</v>
      </c>
      <c r="H497" s="2" t="s">
        <v>18</v>
      </c>
      <c r="I497" s="2"/>
      <c r="J497" s="2" t="s">
        <v>71</v>
      </c>
      <c r="K497" s="3" t="n">
        <v>46130</v>
      </c>
      <c r="L497" s="2" t="s">
        <v>97</v>
      </c>
    </row>
    <row r="498" customFormat="false" ht="12.75" hidden="false" customHeight="false" outlineLevel="0" collapsed="false">
      <c r="A498" s="2" t="s">
        <v>609</v>
      </c>
      <c r="B498" s="3" t="n">
        <v>46182</v>
      </c>
      <c r="C498" s="2" t="s">
        <v>13</v>
      </c>
      <c r="D498" s="2" t="s">
        <v>51</v>
      </c>
      <c r="E498" s="2" t="s">
        <v>52</v>
      </c>
      <c r="F498" s="2" t="s">
        <v>24</v>
      </c>
      <c r="G498" s="2" t="s">
        <v>17</v>
      </c>
      <c r="H498" s="2" t="s">
        <v>80</v>
      </c>
      <c r="I498" s="2" t="s">
        <v>25</v>
      </c>
      <c r="J498" s="2" t="s">
        <v>58</v>
      </c>
      <c r="K498" s="2"/>
      <c r="L498" s="2" t="s">
        <v>95</v>
      </c>
    </row>
    <row r="499" customFormat="false" ht="12.75" hidden="false" customHeight="false" outlineLevel="0" collapsed="false">
      <c r="A499" s="2" t="s">
        <v>610</v>
      </c>
      <c r="B499" s="3" t="n">
        <v>46168</v>
      </c>
      <c r="C499" s="2" t="s">
        <v>121</v>
      </c>
      <c r="D499" s="2" t="s">
        <v>47</v>
      </c>
      <c r="E499" s="2" t="s">
        <v>29</v>
      </c>
      <c r="F499" s="2" t="s">
        <v>24</v>
      </c>
      <c r="G499" s="2"/>
      <c r="H499" s="2" t="s">
        <v>49</v>
      </c>
      <c r="I499" s="2" t="s">
        <v>40</v>
      </c>
      <c r="J499" s="2" t="s">
        <v>20</v>
      </c>
      <c r="K499" s="3" t="n">
        <v>46196</v>
      </c>
      <c r="L499" s="2" t="s">
        <v>45</v>
      </c>
    </row>
    <row r="500" customFormat="false" ht="12.75" hidden="false" customHeight="false" outlineLevel="0" collapsed="false">
      <c r="A500" s="2" t="s">
        <v>611</v>
      </c>
      <c r="B500" s="3" t="n">
        <v>46223</v>
      </c>
      <c r="C500" s="2" t="s">
        <v>13</v>
      </c>
      <c r="D500" s="2" t="s">
        <v>14</v>
      </c>
      <c r="E500" s="2" t="s">
        <v>37</v>
      </c>
      <c r="F500" s="2" t="s">
        <v>24</v>
      </c>
      <c r="G500" s="2" t="s">
        <v>17</v>
      </c>
      <c r="H500" s="2" t="s">
        <v>18</v>
      </c>
      <c r="I500" s="2" t="s">
        <v>25</v>
      </c>
      <c r="J500" s="2" t="s">
        <v>129</v>
      </c>
      <c r="K500" s="2"/>
      <c r="L500" s="2" t="s">
        <v>144</v>
      </c>
    </row>
    <row r="501" customFormat="false" ht="12.75" hidden="false" customHeight="false" outlineLevel="0" collapsed="false">
      <c r="A501" s="2" t="s">
        <v>612</v>
      </c>
      <c r="B501" s="3" t="n">
        <v>46218</v>
      </c>
      <c r="C501" s="2" t="s">
        <v>13</v>
      </c>
      <c r="D501" s="2" t="s">
        <v>47</v>
      </c>
      <c r="E501" s="2" t="s">
        <v>29</v>
      </c>
      <c r="F501" s="2" t="s">
        <v>24</v>
      </c>
      <c r="G501" s="2" t="s">
        <v>17</v>
      </c>
      <c r="H501" s="2" t="s">
        <v>49</v>
      </c>
      <c r="I501" s="2" t="s">
        <v>19</v>
      </c>
      <c r="J501" s="2" t="s">
        <v>106</v>
      </c>
      <c r="K501" s="2"/>
      <c r="L501" s="2" t="s">
        <v>45</v>
      </c>
    </row>
    <row r="502" customFormat="false" ht="12.75" hidden="false" customHeight="false" outlineLevel="0" collapsed="false">
      <c r="A502" s="2" t="s">
        <v>613</v>
      </c>
      <c r="B502" s="3" t="n">
        <v>46075</v>
      </c>
      <c r="C502" s="2" t="s">
        <v>22</v>
      </c>
      <c r="D502" s="2" t="s">
        <v>23</v>
      </c>
      <c r="E502" s="2" t="s">
        <v>15</v>
      </c>
      <c r="F502" s="2" t="s">
        <v>16</v>
      </c>
      <c r="G502" s="2" t="s">
        <v>17</v>
      </c>
      <c r="H502" s="2" t="s">
        <v>49</v>
      </c>
      <c r="I502" s="2" t="s">
        <v>25</v>
      </c>
      <c r="J502" s="2" t="s">
        <v>20</v>
      </c>
      <c r="K502" s="3" t="n">
        <v>46087</v>
      </c>
      <c r="L502" s="2" t="s">
        <v>78</v>
      </c>
    </row>
    <row r="503" customFormat="false" ht="12.75" hidden="false" customHeight="false" outlineLevel="0" collapsed="false">
      <c r="A503" s="2" t="s">
        <v>614</v>
      </c>
      <c r="B503" s="3" t="n">
        <v>46087</v>
      </c>
      <c r="C503" s="2" t="s">
        <v>127</v>
      </c>
      <c r="D503" s="2" t="s">
        <v>51</v>
      </c>
      <c r="E503" s="2"/>
      <c r="F503" s="2" t="s">
        <v>16</v>
      </c>
      <c r="G503" s="2" t="s">
        <v>17</v>
      </c>
      <c r="H503" s="2" t="s">
        <v>18</v>
      </c>
      <c r="I503" s="2" t="s">
        <v>25</v>
      </c>
      <c r="J503" s="2" t="s">
        <v>20</v>
      </c>
      <c r="K503" s="3" t="n">
        <v>46097</v>
      </c>
      <c r="L503" s="2" t="s">
        <v>88</v>
      </c>
    </row>
    <row r="504" customFormat="false" ht="12.75" hidden="false" customHeight="false" outlineLevel="0" collapsed="false">
      <c r="A504" s="2" t="s">
        <v>615</v>
      </c>
      <c r="B504" s="3" t="n">
        <v>46060</v>
      </c>
      <c r="C504" s="2" t="s">
        <v>61</v>
      </c>
      <c r="D504" s="2" t="s">
        <v>23</v>
      </c>
      <c r="E504" s="2" t="s">
        <v>29</v>
      </c>
      <c r="F504" s="2" t="s">
        <v>30</v>
      </c>
      <c r="G504" s="2" t="s">
        <v>17</v>
      </c>
      <c r="H504" s="2" t="s">
        <v>49</v>
      </c>
      <c r="I504" s="2" t="s">
        <v>19</v>
      </c>
      <c r="J504" s="2" t="s">
        <v>108</v>
      </c>
      <c r="K504" s="2"/>
      <c r="L504" s="2" t="s">
        <v>104</v>
      </c>
    </row>
    <row r="505" customFormat="false" ht="12.75" hidden="false" customHeight="false" outlineLevel="0" collapsed="false">
      <c r="A505" s="2" t="s">
        <v>616</v>
      </c>
      <c r="B505" s="3" t="n">
        <v>46054</v>
      </c>
      <c r="C505" s="2" t="s">
        <v>13</v>
      </c>
      <c r="D505" s="2" t="s">
        <v>51</v>
      </c>
      <c r="E505" s="2" t="s">
        <v>15</v>
      </c>
      <c r="F505" s="2" t="s">
        <v>38</v>
      </c>
      <c r="G505" s="2" t="s">
        <v>39</v>
      </c>
      <c r="H505" s="2" t="s">
        <v>77</v>
      </c>
      <c r="I505" s="2" t="s">
        <v>40</v>
      </c>
      <c r="J505" s="2" t="s">
        <v>20</v>
      </c>
      <c r="K505" s="3" t="n">
        <v>46078</v>
      </c>
      <c r="L505" s="2" t="s">
        <v>41</v>
      </c>
    </row>
    <row r="506" customFormat="false" ht="12.75" hidden="false" customHeight="false" outlineLevel="0" collapsed="false">
      <c r="A506" s="2" t="s">
        <v>617</v>
      </c>
      <c r="B506" s="3" t="n">
        <v>46034</v>
      </c>
      <c r="C506" s="2" t="s">
        <v>28</v>
      </c>
      <c r="D506" s="2" t="s">
        <v>116</v>
      </c>
      <c r="E506" s="2" t="s">
        <v>29</v>
      </c>
      <c r="F506" s="2" t="s">
        <v>30</v>
      </c>
      <c r="G506" s="2" t="s">
        <v>17</v>
      </c>
      <c r="H506" s="2" t="s">
        <v>18</v>
      </c>
      <c r="I506" s="2" t="s">
        <v>53</v>
      </c>
      <c r="J506" s="2" t="s">
        <v>20</v>
      </c>
      <c r="K506" s="3" t="n">
        <v>46036</v>
      </c>
      <c r="L506" s="2" t="s">
        <v>45</v>
      </c>
    </row>
    <row r="507" customFormat="false" ht="12.75" hidden="false" customHeight="false" outlineLevel="0" collapsed="false">
      <c r="A507" s="2" t="s">
        <v>618</v>
      </c>
      <c r="B507" s="3" t="n">
        <v>46055</v>
      </c>
      <c r="C507" s="2" t="s">
        <v>13</v>
      </c>
      <c r="D507" s="2" t="s">
        <v>169</v>
      </c>
      <c r="E507" s="2" t="s">
        <v>15</v>
      </c>
      <c r="F507" s="2" t="s">
        <v>16</v>
      </c>
      <c r="G507" s="2" t="s">
        <v>17</v>
      </c>
      <c r="H507" s="2" t="s">
        <v>49</v>
      </c>
      <c r="I507" s="2" t="s">
        <v>53</v>
      </c>
      <c r="J507" s="2" t="s">
        <v>20</v>
      </c>
      <c r="K507" s="3" t="n">
        <v>46079</v>
      </c>
      <c r="L507" s="2" t="s">
        <v>63</v>
      </c>
    </row>
    <row r="508" customFormat="false" ht="12.75" hidden="false" customHeight="false" outlineLevel="0" collapsed="false">
      <c r="A508" s="2" t="s">
        <v>619</v>
      </c>
      <c r="B508" s="3" t="n">
        <v>46139</v>
      </c>
      <c r="C508" s="2" t="s">
        <v>69</v>
      </c>
      <c r="D508" s="2" t="s">
        <v>203</v>
      </c>
      <c r="E508" s="2" t="s">
        <v>66</v>
      </c>
      <c r="F508" s="2" t="s">
        <v>24</v>
      </c>
      <c r="G508" s="2" t="s">
        <v>17</v>
      </c>
      <c r="H508" s="2" t="s">
        <v>49</v>
      </c>
      <c r="I508" s="2" t="s">
        <v>53</v>
      </c>
      <c r="J508" s="2" t="s">
        <v>108</v>
      </c>
      <c r="K508" s="2"/>
      <c r="L508" s="2" t="s">
        <v>86</v>
      </c>
    </row>
    <row r="509" customFormat="false" ht="12.75" hidden="false" customHeight="false" outlineLevel="0" collapsed="false">
      <c r="A509" s="2" t="s">
        <v>359</v>
      </c>
      <c r="B509" s="2" t="s">
        <v>360</v>
      </c>
      <c r="C509" s="2" t="s">
        <v>35</v>
      </c>
      <c r="D509" s="2" t="s">
        <v>36</v>
      </c>
      <c r="E509" s="2" t="s">
        <v>29</v>
      </c>
      <c r="F509" s="2" t="s">
        <v>16</v>
      </c>
      <c r="G509" s="2" t="s">
        <v>17</v>
      </c>
      <c r="H509" s="2" t="s">
        <v>49</v>
      </c>
      <c r="I509" s="2" t="s">
        <v>25</v>
      </c>
      <c r="J509" s="2" t="s">
        <v>58</v>
      </c>
      <c r="K509" s="2"/>
      <c r="L509" s="2" t="s">
        <v>45</v>
      </c>
    </row>
    <row r="510" customFormat="false" ht="12.75" hidden="false" customHeight="false" outlineLevel="0" collapsed="false">
      <c r="A510" s="2" t="s">
        <v>620</v>
      </c>
      <c r="B510" s="3" t="n">
        <v>46150</v>
      </c>
      <c r="C510" s="2" t="s">
        <v>113</v>
      </c>
      <c r="D510" s="2" t="s">
        <v>100</v>
      </c>
      <c r="E510" s="2" t="s">
        <v>37</v>
      </c>
      <c r="F510" s="2" t="s">
        <v>38</v>
      </c>
      <c r="G510" s="2" t="s">
        <v>39</v>
      </c>
      <c r="H510" s="2" t="s">
        <v>49</v>
      </c>
      <c r="I510" s="2" t="s">
        <v>40</v>
      </c>
      <c r="J510" s="2" t="s">
        <v>20</v>
      </c>
      <c r="K510" s="3" t="n">
        <v>46163</v>
      </c>
      <c r="L510" s="2" t="s">
        <v>41</v>
      </c>
    </row>
    <row r="511" customFormat="false" ht="12.75" hidden="false" customHeight="false" outlineLevel="0" collapsed="false">
      <c r="A511" s="2" t="s">
        <v>621</v>
      </c>
      <c r="B511" s="3" t="n">
        <v>46091</v>
      </c>
      <c r="C511" s="2" t="s">
        <v>35</v>
      </c>
      <c r="D511" s="2" t="s">
        <v>56</v>
      </c>
      <c r="E511" s="2" t="s">
        <v>15</v>
      </c>
      <c r="F511" s="2" t="s">
        <v>48</v>
      </c>
      <c r="G511" s="2" t="s">
        <v>17</v>
      </c>
      <c r="H511" s="2" t="s">
        <v>77</v>
      </c>
      <c r="I511" s="2" t="s">
        <v>53</v>
      </c>
      <c r="J511" s="2" t="s">
        <v>20</v>
      </c>
      <c r="K511" s="2"/>
      <c r="L511" s="2" t="s">
        <v>114</v>
      </c>
    </row>
    <row r="512" customFormat="false" ht="12.75" hidden="false" customHeight="false" outlineLevel="0" collapsed="false">
      <c r="A512" s="2" t="s">
        <v>622</v>
      </c>
      <c r="B512" s="3" t="n">
        <v>46200</v>
      </c>
      <c r="C512" s="2" t="s">
        <v>202</v>
      </c>
      <c r="D512" s="2" t="s">
        <v>100</v>
      </c>
      <c r="E512" s="2" t="s">
        <v>37</v>
      </c>
      <c r="F512" s="2" t="s">
        <v>24</v>
      </c>
      <c r="G512" s="2" t="s">
        <v>17</v>
      </c>
      <c r="H512" s="2" t="s">
        <v>150</v>
      </c>
      <c r="I512" s="2" t="s">
        <v>40</v>
      </c>
      <c r="J512" s="2" t="s">
        <v>83</v>
      </c>
      <c r="K512" s="2"/>
      <c r="L512" s="2" t="s">
        <v>144</v>
      </c>
    </row>
    <row r="513" customFormat="false" ht="12.75" hidden="false" customHeight="false" outlineLevel="0" collapsed="false">
      <c r="A513" s="2" t="s">
        <v>623</v>
      </c>
      <c r="B513" s="3" t="n">
        <v>46043</v>
      </c>
      <c r="C513" s="2" t="s">
        <v>121</v>
      </c>
      <c r="D513" s="2" t="s">
        <v>100</v>
      </c>
      <c r="E513" s="2" t="s">
        <v>37</v>
      </c>
      <c r="F513" s="2" t="s">
        <v>48</v>
      </c>
      <c r="G513" s="2" t="s">
        <v>17</v>
      </c>
      <c r="H513" s="2" t="s">
        <v>18</v>
      </c>
      <c r="I513" s="2" t="s">
        <v>25</v>
      </c>
      <c r="J513" s="2" t="s">
        <v>71</v>
      </c>
      <c r="K513" s="3" t="n">
        <v>46058</v>
      </c>
      <c r="L513" s="2" t="s">
        <v>59</v>
      </c>
    </row>
    <row r="514" customFormat="false" ht="12.75" hidden="false" customHeight="false" outlineLevel="0" collapsed="false">
      <c r="A514" s="2" t="s">
        <v>624</v>
      </c>
      <c r="B514" s="3" t="n">
        <v>46091</v>
      </c>
      <c r="C514" s="2" t="s">
        <v>22</v>
      </c>
      <c r="D514" s="2" t="s">
        <v>169</v>
      </c>
      <c r="E514" s="2" t="s">
        <v>29</v>
      </c>
      <c r="F514" s="2" t="s">
        <v>38</v>
      </c>
      <c r="G514" s="2" t="s">
        <v>39</v>
      </c>
      <c r="H514" s="2" t="s">
        <v>18</v>
      </c>
      <c r="I514" s="2" t="s">
        <v>40</v>
      </c>
      <c r="J514" s="2" t="s">
        <v>108</v>
      </c>
      <c r="K514" s="2"/>
      <c r="L514" s="2" t="s">
        <v>41</v>
      </c>
    </row>
    <row r="515" customFormat="false" ht="12.75" hidden="false" customHeight="false" outlineLevel="0" collapsed="false">
      <c r="A515" s="2" t="s">
        <v>625</v>
      </c>
      <c r="B515" s="3" t="n">
        <v>46175</v>
      </c>
      <c r="C515" s="2" t="s">
        <v>121</v>
      </c>
      <c r="D515" s="2" t="s">
        <v>100</v>
      </c>
      <c r="E515" s="2" t="s">
        <v>66</v>
      </c>
      <c r="F515" s="2" t="s">
        <v>48</v>
      </c>
      <c r="G515" s="2" t="s">
        <v>17</v>
      </c>
      <c r="H515" s="2" t="s">
        <v>18</v>
      </c>
      <c r="I515" s="2" t="s">
        <v>25</v>
      </c>
      <c r="J515" s="2" t="s">
        <v>20</v>
      </c>
      <c r="K515" s="3" t="n">
        <v>46182</v>
      </c>
      <c r="L515" s="2" t="s">
        <v>86</v>
      </c>
    </row>
    <row r="516" customFormat="false" ht="12.75" hidden="false" customHeight="false" outlineLevel="0" collapsed="false">
      <c r="A516" s="2" t="s">
        <v>626</v>
      </c>
      <c r="B516" s="3" t="n">
        <v>46116</v>
      </c>
      <c r="C516" s="2" t="s">
        <v>28</v>
      </c>
      <c r="D516" s="2" t="s">
        <v>44</v>
      </c>
      <c r="E516" s="2" t="s">
        <v>66</v>
      </c>
      <c r="F516" s="2" t="s">
        <v>24</v>
      </c>
      <c r="G516" s="2" t="s">
        <v>17</v>
      </c>
      <c r="H516" s="2" t="s">
        <v>18</v>
      </c>
      <c r="I516" s="2" t="s">
        <v>40</v>
      </c>
      <c r="J516" s="2" t="s">
        <v>20</v>
      </c>
      <c r="K516" s="3" t="n">
        <v>46119</v>
      </c>
      <c r="L516" s="2" t="s">
        <v>67</v>
      </c>
    </row>
    <row r="517" customFormat="false" ht="12.75" hidden="false" customHeight="false" outlineLevel="0" collapsed="false">
      <c r="A517" s="2" t="s">
        <v>627</v>
      </c>
      <c r="B517" s="3" t="n">
        <v>46067</v>
      </c>
      <c r="C517" s="2" t="s">
        <v>28</v>
      </c>
      <c r="D517" s="2" t="s">
        <v>51</v>
      </c>
      <c r="E517" s="2" t="s">
        <v>15</v>
      </c>
      <c r="F517" s="2" t="s">
        <v>16</v>
      </c>
      <c r="G517" s="2" t="s">
        <v>17</v>
      </c>
      <c r="H517" s="2" t="s">
        <v>49</v>
      </c>
      <c r="I517" s="2" t="s">
        <v>40</v>
      </c>
      <c r="J517" s="2" t="s">
        <v>83</v>
      </c>
      <c r="K517" s="2"/>
      <c r="L517" s="2" t="s">
        <v>114</v>
      </c>
    </row>
    <row r="518" customFormat="false" ht="12.75" hidden="false" customHeight="false" outlineLevel="0" collapsed="false">
      <c r="A518" s="2" t="s">
        <v>628</v>
      </c>
      <c r="B518" s="3" t="n">
        <v>46223</v>
      </c>
      <c r="C518" s="2" t="s">
        <v>22</v>
      </c>
      <c r="D518" s="2" t="s">
        <v>23</v>
      </c>
      <c r="E518" s="2" t="s">
        <v>37</v>
      </c>
      <c r="F518" s="2" t="s">
        <v>38</v>
      </c>
      <c r="G518" s="2" t="s">
        <v>39</v>
      </c>
      <c r="H518" s="2" t="s">
        <v>18</v>
      </c>
      <c r="I518" s="2" t="s">
        <v>40</v>
      </c>
      <c r="J518" s="2" t="s">
        <v>20</v>
      </c>
      <c r="K518" s="3" t="n">
        <v>46241</v>
      </c>
      <c r="L518" s="2" t="s">
        <v>41</v>
      </c>
    </row>
    <row r="519" customFormat="false" ht="12.75" hidden="false" customHeight="false" outlineLevel="0" collapsed="false">
      <c r="A519" s="2" t="s">
        <v>629</v>
      </c>
      <c r="B519" s="3" t="n">
        <v>46126</v>
      </c>
      <c r="C519" s="2" t="s">
        <v>13</v>
      </c>
      <c r="D519" s="2" t="s">
        <v>14</v>
      </c>
      <c r="E519" s="2" t="s">
        <v>15</v>
      </c>
      <c r="F519" s="2" t="s">
        <v>16</v>
      </c>
      <c r="G519" s="2" t="s">
        <v>17</v>
      </c>
      <c r="H519" s="2" t="s">
        <v>18</v>
      </c>
      <c r="I519" s="2" t="s">
        <v>19</v>
      </c>
      <c r="J519" s="2" t="s">
        <v>134</v>
      </c>
      <c r="K519" s="3" t="n">
        <v>46118</v>
      </c>
      <c r="L519" s="2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15" hidden="false" customHeight="true" outlineLevel="0" collapsed="false">
      <c r="A1" s="4" t="s">
        <v>630</v>
      </c>
    </row>
    <row r="3" customFormat="false" ht="12.75" hidden="false" customHeight="false" outlineLevel="0" collapsed="false">
      <c r="A3" s="5" t="s">
        <v>2</v>
      </c>
      <c r="C3" s="5" t="s">
        <v>3</v>
      </c>
      <c r="E3" s="5" t="s">
        <v>4</v>
      </c>
      <c r="G3" s="5" t="s">
        <v>5</v>
      </c>
      <c r="I3" s="5" t="s">
        <v>6</v>
      </c>
    </row>
    <row r="4" customFormat="false" ht="12.75" hidden="false" customHeight="false" outlineLevel="0" collapsed="false">
      <c r="A4" s="6" t="s">
        <v>61</v>
      </c>
      <c r="C4" s="6" t="s">
        <v>23</v>
      </c>
      <c r="E4" s="6" t="s">
        <v>52</v>
      </c>
      <c r="G4" s="6" t="s">
        <v>24</v>
      </c>
      <c r="I4" s="6" t="s">
        <v>17</v>
      </c>
    </row>
    <row r="5" customFormat="false" ht="12.75" hidden="false" customHeight="false" outlineLevel="0" collapsed="false">
      <c r="A5" s="6" t="s">
        <v>22</v>
      </c>
      <c r="C5" s="6" t="s">
        <v>100</v>
      </c>
      <c r="E5" s="6" t="s">
        <v>15</v>
      </c>
      <c r="G5" s="6" t="s">
        <v>16</v>
      </c>
      <c r="I5" s="6" t="s">
        <v>39</v>
      </c>
    </row>
    <row r="6" customFormat="false" ht="12.75" hidden="false" customHeight="false" outlineLevel="0" collapsed="false">
      <c r="A6" s="6" t="s">
        <v>28</v>
      </c>
      <c r="C6" s="6" t="s">
        <v>51</v>
      </c>
      <c r="E6" s="6" t="s">
        <v>66</v>
      </c>
      <c r="G6" s="6" t="s">
        <v>30</v>
      </c>
    </row>
    <row r="7" customFormat="false" ht="12.75" hidden="false" customHeight="false" outlineLevel="0" collapsed="false">
      <c r="A7" s="6" t="s">
        <v>35</v>
      </c>
      <c r="C7" s="6" t="s">
        <v>56</v>
      </c>
      <c r="E7" s="6" t="s">
        <v>29</v>
      </c>
      <c r="G7" s="6" t="s">
        <v>48</v>
      </c>
    </row>
    <row r="8" customFormat="false" ht="12.75" hidden="false" customHeight="false" outlineLevel="0" collapsed="false">
      <c r="A8" s="6" t="s">
        <v>13</v>
      </c>
      <c r="C8" s="6" t="s">
        <v>70</v>
      </c>
      <c r="E8" s="6" t="s">
        <v>37</v>
      </c>
      <c r="G8" s="6" t="s">
        <v>38</v>
      </c>
    </row>
    <row r="9" customFormat="false" ht="12.75" hidden="false" customHeight="false" outlineLevel="0" collapsed="false">
      <c r="C9" s="6" t="s">
        <v>14</v>
      </c>
    </row>
    <row r="11" customFormat="false" ht="12.75" hidden="false" customHeight="false" outlineLevel="0" collapsed="false">
      <c r="A11" s="5" t="s">
        <v>7</v>
      </c>
      <c r="C11" s="5" t="s">
        <v>8</v>
      </c>
      <c r="E11" s="5" t="s">
        <v>9</v>
      </c>
      <c r="G11" s="7" t="s">
        <v>631</v>
      </c>
    </row>
    <row r="12" customFormat="false" ht="12.75" hidden="false" customHeight="false" outlineLevel="0" collapsed="false">
      <c r="A12" s="6" t="s">
        <v>18</v>
      </c>
      <c r="C12" s="6" t="s">
        <v>81</v>
      </c>
      <c r="E12" s="6" t="s">
        <v>58</v>
      </c>
      <c r="G12" s="8" t="s">
        <v>6</v>
      </c>
      <c r="H12" s="8" t="s">
        <v>632</v>
      </c>
    </row>
    <row r="13" customFormat="false" ht="12.75" hidden="false" customHeight="false" outlineLevel="0" collapsed="false">
      <c r="A13" s="6" t="s">
        <v>49</v>
      </c>
      <c r="C13" s="6" t="s">
        <v>53</v>
      </c>
      <c r="E13" s="6" t="s">
        <v>83</v>
      </c>
      <c r="G13" s="6" t="s">
        <v>39</v>
      </c>
      <c r="H13" s="6" t="n">
        <v>3</v>
      </c>
    </row>
    <row r="14" customFormat="false" ht="12.75" hidden="false" customHeight="false" outlineLevel="0" collapsed="false">
      <c r="A14" s="6" t="s">
        <v>179</v>
      </c>
      <c r="C14" s="6" t="s">
        <v>40</v>
      </c>
      <c r="E14" s="6" t="s">
        <v>20</v>
      </c>
      <c r="G14" s="6" t="s">
        <v>17</v>
      </c>
      <c r="H14" s="6" t="n">
        <v>15</v>
      </c>
    </row>
    <row r="15" customFormat="false" ht="12.75" hidden="false" customHeight="false" outlineLevel="0" collapsed="false">
      <c r="C15" s="6" t="s">
        <v>25</v>
      </c>
      <c r="E15" s="6" t="s">
        <v>108</v>
      </c>
    </row>
    <row r="16" customFormat="false" ht="12.75" hidden="false" customHeight="false" outlineLevel="0" collapsed="false">
      <c r="C16" s="6" t="s">
        <v>19</v>
      </c>
    </row>
    <row r="21" customFormat="false" ht="15" hidden="false" customHeight="true" outlineLevel="0" collapsed="false">
      <c r="A21" s="4" t="s">
        <v>633</v>
      </c>
    </row>
    <row r="22" customFormat="false" ht="12.75" hidden="false" customHeight="false" outlineLevel="0" collapsed="false">
      <c r="A22" s="8" t="s">
        <v>634</v>
      </c>
      <c r="B22" s="8" t="s">
        <v>635</v>
      </c>
      <c r="C22" s="8" t="s">
        <v>636</v>
      </c>
    </row>
    <row r="23" customFormat="false" ht="12.75" hidden="false" customHeight="false" outlineLevel="0" collapsed="false">
      <c r="A23" s="6" t="s">
        <v>2</v>
      </c>
      <c r="B23" s="6" t="s">
        <v>121</v>
      </c>
      <c r="C23" s="6" t="s">
        <v>61</v>
      </c>
    </row>
    <row r="24" customFormat="false" ht="12.75" hidden="false" customHeight="false" outlineLevel="0" collapsed="false">
      <c r="A24" s="6" t="s">
        <v>2</v>
      </c>
      <c r="B24" s="6" t="s">
        <v>205</v>
      </c>
      <c r="C24" s="6" t="s">
        <v>61</v>
      </c>
    </row>
    <row r="25" customFormat="false" ht="12.75" hidden="false" customHeight="false" outlineLevel="0" collapsed="false">
      <c r="A25" s="6" t="s">
        <v>2</v>
      </c>
      <c r="B25" s="6" t="s">
        <v>202</v>
      </c>
      <c r="C25" s="6" t="s">
        <v>61</v>
      </c>
    </row>
    <row r="26" customFormat="false" ht="12.75" hidden="false" customHeight="false" outlineLevel="0" collapsed="false">
      <c r="A26" s="6" t="s">
        <v>2</v>
      </c>
      <c r="B26" s="6" t="s">
        <v>192</v>
      </c>
      <c r="C26" s="6" t="s">
        <v>61</v>
      </c>
    </row>
    <row r="27" customFormat="false" ht="12.75" hidden="false" customHeight="false" outlineLevel="0" collapsed="false">
      <c r="A27" s="6" t="s">
        <v>2</v>
      </c>
      <c r="B27" s="6" t="s">
        <v>164</v>
      </c>
      <c r="C27" s="6" t="s">
        <v>22</v>
      </c>
    </row>
    <row r="28" customFormat="false" ht="12.75" hidden="false" customHeight="false" outlineLevel="0" collapsed="false">
      <c r="A28" s="6" t="s">
        <v>2</v>
      </c>
      <c r="B28" s="6" t="s">
        <v>138</v>
      </c>
      <c r="C28" s="6" t="s">
        <v>22</v>
      </c>
    </row>
    <row r="29" customFormat="false" ht="12.75" hidden="false" customHeight="false" outlineLevel="0" collapsed="false">
      <c r="A29" s="6" t="s">
        <v>2</v>
      </c>
      <c r="B29" s="6" t="s">
        <v>113</v>
      </c>
      <c r="C29" s="6" t="s">
        <v>22</v>
      </c>
    </row>
    <row r="30" customFormat="false" ht="12.75" hidden="false" customHeight="false" outlineLevel="0" collapsed="false">
      <c r="A30" s="6" t="s">
        <v>2</v>
      </c>
      <c r="B30" s="6" t="s">
        <v>131</v>
      </c>
      <c r="C30" s="6" t="s">
        <v>28</v>
      </c>
    </row>
    <row r="31" customFormat="false" ht="12.75" hidden="false" customHeight="false" outlineLevel="0" collapsed="false">
      <c r="A31" s="6" t="s">
        <v>2</v>
      </c>
      <c r="B31" s="6" t="s">
        <v>103</v>
      </c>
      <c r="C31" s="6" t="s">
        <v>28</v>
      </c>
    </row>
    <row r="32" customFormat="false" ht="12.75" hidden="false" customHeight="false" outlineLevel="0" collapsed="false">
      <c r="A32" s="6" t="s">
        <v>2</v>
      </c>
      <c r="B32" s="6" t="s">
        <v>127</v>
      </c>
      <c r="C32" s="6" t="s">
        <v>35</v>
      </c>
    </row>
    <row r="33" customFormat="false" ht="12.75" hidden="false" customHeight="false" outlineLevel="0" collapsed="false">
      <c r="A33" s="6" t="s">
        <v>2</v>
      </c>
      <c r="B33" s="6" t="s">
        <v>69</v>
      </c>
      <c r="C33" s="6" t="s">
        <v>35</v>
      </c>
    </row>
    <row r="34" customFormat="false" ht="12.75" hidden="false" customHeight="false" outlineLevel="0" collapsed="false">
      <c r="A34" s="6" t="s">
        <v>2</v>
      </c>
      <c r="B34" s="6" t="s">
        <v>43</v>
      </c>
      <c r="C34" s="6" t="s">
        <v>13</v>
      </c>
    </row>
    <row r="35" customFormat="false" ht="12.75" hidden="false" customHeight="false" outlineLevel="0" collapsed="false">
      <c r="A35" s="6" t="s">
        <v>2</v>
      </c>
      <c r="B35" s="6" t="s">
        <v>123</v>
      </c>
      <c r="C35" s="6" t="s">
        <v>13</v>
      </c>
    </row>
    <row r="36" customFormat="false" ht="12.75" hidden="false" customHeight="false" outlineLevel="0" collapsed="false">
      <c r="A36" s="6" t="s">
        <v>3</v>
      </c>
      <c r="B36" s="6" t="s">
        <v>92</v>
      </c>
      <c r="C36" s="6" t="s">
        <v>23</v>
      </c>
    </row>
    <row r="37" customFormat="false" ht="12.75" hidden="false" customHeight="false" outlineLevel="0" collapsed="false">
      <c r="A37" s="6" t="s">
        <v>3</v>
      </c>
      <c r="B37" s="6" t="s">
        <v>85</v>
      </c>
      <c r="C37" s="6" t="s">
        <v>23</v>
      </c>
    </row>
    <row r="38" customFormat="false" ht="12.75" hidden="false" customHeight="false" outlineLevel="0" collapsed="false">
      <c r="A38" s="6" t="s">
        <v>3</v>
      </c>
      <c r="B38" s="6" t="s">
        <v>266</v>
      </c>
      <c r="C38" s="6" t="s">
        <v>23</v>
      </c>
    </row>
    <row r="39" customFormat="false" ht="12.75" hidden="false" customHeight="false" outlineLevel="0" collapsed="false">
      <c r="A39" s="6" t="s">
        <v>3</v>
      </c>
      <c r="B39" s="6" t="s">
        <v>169</v>
      </c>
      <c r="C39" s="6" t="s">
        <v>100</v>
      </c>
    </row>
    <row r="40" customFormat="false" ht="12.75" hidden="false" customHeight="false" outlineLevel="0" collapsed="false">
      <c r="A40" s="6" t="s">
        <v>3</v>
      </c>
      <c r="B40" s="6" t="s">
        <v>154</v>
      </c>
      <c r="C40" s="6" t="s">
        <v>100</v>
      </c>
    </row>
    <row r="41" customFormat="false" ht="12.75" hidden="false" customHeight="false" outlineLevel="0" collapsed="false">
      <c r="A41" s="6" t="s">
        <v>3</v>
      </c>
      <c r="B41" s="6" t="s">
        <v>159</v>
      </c>
      <c r="C41" s="6" t="s">
        <v>100</v>
      </c>
    </row>
    <row r="42" customFormat="false" ht="12.75" hidden="false" customHeight="false" outlineLevel="0" collapsed="false">
      <c r="A42" s="6" t="s">
        <v>3</v>
      </c>
      <c r="B42" s="6" t="s">
        <v>157</v>
      </c>
      <c r="C42" s="6" t="s">
        <v>51</v>
      </c>
    </row>
    <row r="43" customFormat="false" ht="12.75" hidden="false" customHeight="false" outlineLevel="0" collapsed="false">
      <c r="A43" s="6" t="s">
        <v>3</v>
      </c>
      <c r="B43" s="6" t="s">
        <v>44</v>
      </c>
      <c r="C43" s="6" t="s">
        <v>51</v>
      </c>
    </row>
    <row r="44" customFormat="false" ht="12.75" hidden="false" customHeight="false" outlineLevel="0" collapsed="false">
      <c r="A44" s="6" t="s">
        <v>3</v>
      </c>
      <c r="B44" s="6" t="s">
        <v>65</v>
      </c>
      <c r="C44" s="6" t="s">
        <v>51</v>
      </c>
    </row>
    <row r="45" customFormat="false" ht="12.75" hidden="false" customHeight="false" outlineLevel="0" collapsed="false">
      <c r="A45" s="6" t="s">
        <v>3</v>
      </c>
      <c r="B45" s="6" t="s">
        <v>36</v>
      </c>
      <c r="C45" s="6" t="s">
        <v>56</v>
      </c>
    </row>
    <row r="46" customFormat="false" ht="12.75" hidden="false" customHeight="false" outlineLevel="0" collapsed="false">
      <c r="A46" s="6" t="s">
        <v>3</v>
      </c>
      <c r="B46" s="6" t="s">
        <v>62</v>
      </c>
      <c r="C46" s="6" t="s">
        <v>56</v>
      </c>
    </row>
    <row r="47" customFormat="false" ht="12.75" hidden="false" customHeight="false" outlineLevel="0" collapsed="false">
      <c r="A47" s="6" t="s">
        <v>3</v>
      </c>
      <c r="B47" s="6" t="s">
        <v>116</v>
      </c>
      <c r="C47" s="6" t="s">
        <v>70</v>
      </c>
    </row>
    <row r="48" customFormat="false" ht="12.75" hidden="false" customHeight="false" outlineLevel="0" collapsed="false">
      <c r="A48" s="6" t="s">
        <v>3</v>
      </c>
      <c r="B48" s="6" t="s">
        <v>203</v>
      </c>
      <c r="C48" s="6" t="s">
        <v>70</v>
      </c>
    </row>
    <row r="49" customFormat="false" ht="12.75" hidden="false" customHeight="false" outlineLevel="0" collapsed="false">
      <c r="A49" s="6" t="s">
        <v>3</v>
      </c>
      <c r="B49" s="6" t="s">
        <v>47</v>
      </c>
      <c r="C49" s="6" t="s">
        <v>14</v>
      </c>
    </row>
    <row r="50" customFormat="false" ht="12.75" hidden="false" customHeight="false" outlineLevel="0" collapsed="false">
      <c r="A50" s="6" t="s">
        <v>3</v>
      </c>
      <c r="B50" s="6" t="s">
        <v>215</v>
      </c>
      <c r="C50" s="6" t="s">
        <v>14</v>
      </c>
    </row>
    <row r="51" customFormat="false" ht="12.75" hidden="false" customHeight="false" outlineLevel="0" collapsed="false">
      <c r="A51" s="6" t="s">
        <v>7</v>
      </c>
      <c r="B51" s="6" t="s">
        <v>57</v>
      </c>
      <c r="C51" s="6" t="s">
        <v>18</v>
      </c>
    </row>
    <row r="52" customFormat="false" ht="12.75" hidden="false" customHeight="false" outlineLevel="0" collapsed="false">
      <c r="A52" s="6" t="s">
        <v>7</v>
      </c>
      <c r="B52" s="6" t="s">
        <v>110</v>
      </c>
      <c r="C52" s="6" t="s">
        <v>18</v>
      </c>
    </row>
    <row r="53" customFormat="false" ht="12.75" hidden="false" customHeight="false" outlineLevel="0" collapsed="false">
      <c r="A53" s="6" t="s">
        <v>7</v>
      </c>
      <c r="B53" s="6" t="s">
        <v>93</v>
      </c>
      <c r="C53" s="6" t="s">
        <v>18</v>
      </c>
    </row>
    <row r="54" customFormat="false" ht="12.75" hidden="false" customHeight="false" outlineLevel="0" collapsed="false">
      <c r="A54" s="6" t="s">
        <v>7</v>
      </c>
      <c r="B54" s="6" t="s">
        <v>80</v>
      </c>
      <c r="C54" s="6" t="s">
        <v>49</v>
      </c>
    </row>
    <row r="55" customFormat="false" ht="12.75" hidden="false" customHeight="false" outlineLevel="0" collapsed="false">
      <c r="A55" s="6" t="s">
        <v>7</v>
      </c>
      <c r="B55" s="6" t="s">
        <v>150</v>
      </c>
      <c r="C55" s="6" t="s">
        <v>49</v>
      </c>
    </row>
    <row r="56" customFormat="false" ht="12.75" hidden="false" customHeight="false" outlineLevel="0" collapsed="false">
      <c r="A56" s="6" t="s">
        <v>7</v>
      </c>
      <c r="B56" s="6" t="s">
        <v>77</v>
      </c>
      <c r="C56" s="6" t="s">
        <v>49</v>
      </c>
    </row>
    <row r="57" customFormat="false" ht="12.75" hidden="false" customHeight="false" outlineLevel="0" collapsed="false">
      <c r="A57" s="6" t="s">
        <v>7</v>
      </c>
      <c r="B57" s="6" t="s">
        <v>125</v>
      </c>
      <c r="C57" s="6" t="s">
        <v>179</v>
      </c>
    </row>
    <row r="58" customFormat="false" ht="12.75" hidden="false" customHeight="false" outlineLevel="0" collapsed="false">
      <c r="A58" s="6" t="s">
        <v>9</v>
      </c>
      <c r="B58" s="6" t="s">
        <v>129</v>
      </c>
      <c r="C58" s="6" t="s">
        <v>58</v>
      </c>
    </row>
    <row r="59" customFormat="false" ht="12.75" hidden="false" customHeight="false" outlineLevel="0" collapsed="false">
      <c r="A59" s="6" t="s">
        <v>9</v>
      </c>
      <c r="B59" s="6" t="s">
        <v>182</v>
      </c>
      <c r="C59" s="6" t="s">
        <v>58</v>
      </c>
    </row>
    <row r="60" customFormat="false" ht="12.75" hidden="false" customHeight="false" outlineLevel="0" collapsed="false">
      <c r="A60" s="6" t="s">
        <v>9</v>
      </c>
      <c r="B60" s="6" t="s">
        <v>106</v>
      </c>
      <c r="C60" s="6" t="s">
        <v>83</v>
      </c>
    </row>
    <row r="61" customFormat="false" ht="12.75" hidden="false" customHeight="false" outlineLevel="0" collapsed="false">
      <c r="A61" s="6" t="s">
        <v>9</v>
      </c>
      <c r="B61" s="6" t="s">
        <v>111</v>
      </c>
      <c r="C61" s="6" t="s">
        <v>83</v>
      </c>
    </row>
    <row r="62" customFormat="false" ht="12.75" hidden="false" customHeight="false" outlineLevel="0" collapsed="false">
      <c r="A62" s="6" t="s">
        <v>9</v>
      </c>
      <c r="B62" s="6" t="s">
        <v>71</v>
      </c>
      <c r="C62" s="6" t="s">
        <v>20</v>
      </c>
    </row>
    <row r="63" customFormat="false" ht="12.75" hidden="false" customHeight="false" outlineLevel="0" collapsed="false">
      <c r="A63" s="6" t="s">
        <v>9</v>
      </c>
      <c r="B63" s="6" t="s">
        <v>31</v>
      </c>
      <c r="C63" s="6" t="s">
        <v>20</v>
      </c>
    </row>
    <row r="64" customFormat="false" ht="12.75" hidden="false" customHeight="false" outlineLevel="0" collapsed="false">
      <c r="A64" s="6" t="s">
        <v>9</v>
      </c>
      <c r="B64" s="6" t="s">
        <v>134</v>
      </c>
      <c r="C64" s="6" t="s">
        <v>20</v>
      </c>
    </row>
    <row r="65" customFormat="false" ht="12.75" hidden="false" customHeight="false" outlineLevel="0" collapsed="false">
      <c r="A65" s="6" t="s">
        <v>9</v>
      </c>
      <c r="B65" s="6" t="s">
        <v>213</v>
      </c>
      <c r="C65" s="6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0" width="132"/>
  </cols>
  <sheetData>
    <row r="1" customFormat="false" ht="16.5" hidden="false" customHeight="true" outlineLevel="0" collapsed="false">
      <c r="A1" s="9" t="s">
        <v>637</v>
      </c>
    </row>
    <row r="2" customFormat="false" ht="12.75" hidden="false" customHeight="false" outlineLevel="0" collapsed="false">
      <c r="A2" s="10" t="s">
        <v>638</v>
      </c>
    </row>
    <row r="3" customFormat="false" ht="12.75" hidden="false" customHeight="false" outlineLevel="0" collapsed="false">
      <c r="A3" s="10" t="s">
        <v>639</v>
      </c>
    </row>
    <row r="4" customFormat="false" ht="12.75" hidden="false" customHeight="false" outlineLevel="0" collapsed="false">
      <c r="A4" s="11"/>
    </row>
    <row r="5" customFormat="false" ht="13.5" hidden="false" customHeight="true" outlineLevel="0" collapsed="false">
      <c r="A5" s="12" t="s">
        <v>640</v>
      </c>
    </row>
    <row r="6" customFormat="false" ht="26.25" hidden="false" customHeight="true" outlineLevel="0" collapsed="false">
      <c r="A6" s="11" t="s">
        <v>641</v>
      </c>
    </row>
    <row r="7" customFormat="false" ht="12.75" hidden="false" customHeight="false" outlineLevel="0" collapsed="false">
      <c r="A7" s="11" t="s">
        <v>642</v>
      </c>
    </row>
    <row r="8" customFormat="false" ht="12.75" hidden="false" customHeight="false" outlineLevel="0" collapsed="false">
      <c r="A8" s="11"/>
    </row>
    <row r="9" customFormat="false" ht="13.5" hidden="false" customHeight="true" outlineLevel="0" collapsed="false">
      <c r="A9" s="12" t="s">
        <v>643</v>
      </c>
    </row>
    <row r="10" customFormat="false" ht="12.75" hidden="false" customHeight="false" outlineLevel="0" collapsed="false">
      <c r="A10" s="11" t="s">
        <v>644</v>
      </c>
    </row>
    <row r="11" customFormat="false" ht="26.25" hidden="false" customHeight="true" outlineLevel="0" collapsed="false">
      <c r="A11" s="11" t="s">
        <v>645</v>
      </c>
    </row>
    <row r="12" customFormat="false" ht="12.75" hidden="false" customHeight="false" outlineLevel="0" collapsed="false">
      <c r="A12" s="11" t="s">
        <v>646</v>
      </c>
    </row>
    <row r="13" customFormat="false" ht="26.25" hidden="false" customHeight="true" outlineLevel="0" collapsed="false">
      <c r="A13" s="11" t="s">
        <v>647</v>
      </c>
    </row>
    <row r="14" customFormat="false" ht="12.75" hidden="false" customHeight="false" outlineLevel="0" collapsed="false">
      <c r="A14" s="11" t="s">
        <v>648</v>
      </c>
    </row>
    <row r="15" customFormat="false" ht="12.75" hidden="false" customHeight="false" outlineLevel="0" collapsed="false">
      <c r="A15" s="11" t="s">
        <v>649</v>
      </c>
    </row>
    <row r="16" customFormat="false" ht="12.75" hidden="false" customHeight="false" outlineLevel="0" collapsed="false">
      <c r="A16" s="11" t="s">
        <v>650</v>
      </c>
    </row>
    <row r="17" customFormat="false" ht="12.75" hidden="false" customHeight="false" outlineLevel="0" collapsed="false">
      <c r="A17" s="11"/>
    </row>
    <row r="18" customFormat="false" ht="13.5" hidden="false" customHeight="true" outlineLevel="0" collapsed="false">
      <c r="A18" s="12" t="s">
        <v>651</v>
      </c>
    </row>
    <row r="19" customFormat="false" ht="12.75" hidden="false" customHeight="false" outlineLevel="0" collapsed="false">
      <c r="A19" s="11" t="s">
        <v>652</v>
      </c>
    </row>
    <row r="20" customFormat="false" ht="26.25" hidden="false" customHeight="true" outlineLevel="0" collapsed="false">
      <c r="A20" s="11" t="s">
        <v>653</v>
      </c>
    </row>
    <row r="21" customFormat="false" ht="12.75" hidden="false" customHeight="false" outlineLevel="0" collapsed="false">
      <c r="A21" s="11" t="s">
        <v>654</v>
      </c>
    </row>
    <row r="22" customFormat="false" ht="12.75" hidden="false" customHeight="false" outlineLevel="0" collapsed="false">
      <c r="A22" s="11" t="s">
        <v>655</v>
      </c>
    </row>
    <row r="23" customFormat="false" ht="12.75" hidden="false" customHeight="false" outlineLevel="0" collapsed="false">
      <c r="A23" s="11" t="s">
        <v>656</v>
      </c>
    </row>
    <row r="24" customFormat="false" ht="12.75" hidden="false" customHeight="false" outlineLevel="0" collapsed="false">
      <c r="A24" s="11"/>
    </row>
    <row r="25" customFormat="false" ht="13.5" hidden="false" customHeight="true" outlineLevel="0" collapsed="false">
      <c r="A25" s="12" t="s">
        <v>657</v>
      </c>
    </row>
    <row r="26" customFormat="false" ht="12.75" hidden="false" customHeight="false" outlineLevel="0" collapsed="false">
      <c r="A26" s="11" t="s">
        <v>658</v>
      </c>
    </row>
    <row r="27" customFormat="false" ht="12.75" hidden="false" customHeight="false" outlineLevel="0" collapsed="false">
      <c r="A27" s="11" t="s">
        <v>659</v>
      </c>
    </row>
    <row r="28" customFormat="false" ht="12.75" hidden="false" customHeight="false" outlineLevel="0" collapsed="false">
      <c r="A28" s="11" t="s">
        <v>660</v>
      </c>
    </row>
    <row r="29" customFormat="false" ht="12.75" hidden="false" customHeight="false" outlineLevel="0" collapsed="false">
      <c r="A29" s="11" t="s">
        <v>661</v>
      </c>
    </row>
    <row r="30" customFormat="false" ht="12.75" hidden="false" customHeight="false" outlineLevel="0" collapsed="false">
      <c r="A30" s="11" t="s">
        <v>662</v>
      </c>
    </row>
    <row r="31" customFormat="false" ht="12.75" hidden="false" customHeight="false" outlineLevel="0" collapsed="false">
      <c r="A31" s="11" t="s">
        <v>663</v>
      </c>
    </row>
    <row r="32" customFormat="false" ht="12.75" hidden="false" customHeight="false" outlineLevel="0" collapsed="false">
      <c r="A32" s="11" t="s">
        <v>664</v>
      </c>
    </row>
    <row r="33" customFormat="false" ht="12.75" hidden="false" customHeight="false" outlineLevel="0" collapsed="false">
      <c r="A33" s="11"/>
    </row>
    <row r="34" customFormat="false" ht="13.5" hidden="false" customHeight="true" outlineLevel="0" collapsed="false">
      <c r="A34" s="12" t="s">
        <v>665</v>
      </c>
    </row>
    <row r="35" customFormat="false" ht="26.25" hidden="false" customHeight="true" outlineLevel="0" collapsed="false">
      <c r="A35" s="11" t="s">
        <v>666</v>
      </c>
    </row>
    <row r="36" customFormat="false" ht="12.75" hidden="false" customHeight="false" outlineLevel="0" collapsed="false">
      <c r="A36" s="11" t="s">
        <v>667</v>
      </c>
    </row>
    <row r="37" customFormat="false" ht="12.75" hidden="false" customHeight="false" outlineLevel="0" collapsed="false">
      <c r="A37" s="11"/>
    </row>
    <row r="38" customFormat="false" ht="13.5" hidden="false" customHeight="true" outlineLevel="0" collapsed="false">
      <c r="A38" s="12" t="s">
        <v>668</v>
      </c>
    </row>
    <row r="39" customFormat="false" ht="12.75" hidden="false" customHeight="false" outlineLevel="0" collapsed="false">
      <c r="A39" s="11" t="s">
        <v>669</v>
      </c>
    </row>
    <row r="40" customFormat="false" ht="12.75" hidden="false" customHeight="false" outlineLevel="0" collapsed="false">
      <c r="A40" s="11" t="s">
        <v>670</v>
      </c>
    </row>
    <row r="41" customFormat="false" ht="12.75" hidden="false" customHeight="false" outlineLevel="0" collapsed="false">
      <c r="A41" s="11" t="s">
        <v>671</v>
      </c>
    </row>
    <row r="42" customFormat="false" ht="12.75" hidden="false" customHeight="false" outlineLevel="0" collapsed="false">
      <c r="A42" s="11" t="s">
        <v>672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pane xSplit="0" ySplit="6" topLeftCell="A7" activePane="bottomLeft" state="frozen"/>
      <selection pane="topLeft" activeCell="A3" activeCellId="0" sqref="A3"/>
      <selection pane="bottom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54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50"/>
    <col collapsed="false" customWidth="true" hidden="false" outlineLevel="0" max="9" min="9" style="0" width="60"/>
  </cols>
  <sheetData>
    <row r="1" customFormat="false" ht="16.5" hidden="false" customHeight="true" outlineLevel="0" collapsed="false">
      <c r="A1" s="13" t="s">
        <v>673</v>
      </c>
    </row>
    <row r="2" customFormat="false" ht="12.75" hidden="false" customHeight="false" outlineLevel="0" collapsed="false">
      <c r="A2" s="14" t="s">
        <v>674</v>
      </c>
    </row>
    <row r="3" customFormat="false" ht="12.75" hidden="false" customHeight="false" outlineLevel="0" collapsed="false">
      <c r="A3" s="14" t="s">
        <v>675</v>
      </c>
    </row>
    <row r="5" customFormat="false" ht="14.25" hidden="false" customHeight="true" outlineLevel="0" collapsed="false">
      <c r="A5" s="15" t="s">
        <v>676</v>
      </c>
      <c r="B5" s="16"/>
      <c r="C5" s="16"/>
      <c r="D5" s="16"/>
      <c r="E5" s="16"/>
      <c r="F5" s="16"/>
      <c r="G5" s="16"/>
      <c r="H5" s="16"/>
      <c r="I5" s="16"/>
    </row>
    <row r="6" customFormat="false" ht="30" hidden="false" customHeight="true" outlineLevel="0" collapsed="false">
      <c r="A6" s="1" t="s">
        <v>677</v>
      </c>
      <c r="B6" s="1" t="s">
        <v>678</v>
      </c>
      <c r="C6" s="1" t="s">
        <v>679</v>
      </c>
      <c r="D6" s="1" t="s">
        <v>680</v>
      </c>
      <c r="E6" s="1" t="s">
        <v>681</v>
      </c>
      <c r="F6" s="1" t="s">
        <v>682</v>
      </c>
      <c r="G6" s="1" t="s">
        <v>683</v>
      </c>
      <c r="H6" s="1" t="s">
        <v>684</v>
      </c>
      <c r="I6" s="1" t="s">
        <v>685</v>
      </c>
    </row>
    <row r="7" customFormat="false" ht="39" hidden="false" customHeight="true" outlineLevel="0" collapsed="false">
      <c r="A7" s="17" t="s">
        <v>686</v>
      </c>
      <c r="B7" s="17" t="s">
        <v>687</v>
      </c>
      <c r="C7" s="18" t="s">
        <v>688</v>
      </c>
      <c r="D7" s="19" t="n">
        <f aca="false">COUNTBLANK(Clean_Data!$E$2:$E$501)</f>
        <v>22</v>
      </c>
      <c r="E7" s="17" t="n">
        <f aca="false">COUNTA(Clean_Data!$A$2:$A$501)</f>
        <v>500</v>
      </c>
      <c r="F7" s="20" t="n">
        <f aca="false">IFERROR(1-D7/E7,"")</f>
        <v>0.956</v>
      </c>
      <c r="G7" s="17" t="str">
        <f aca="false">IF(D7=0,"Pass","Review required")</f>
        <v>Review required</v>
      </c>
      <c r="H7" s="18" t="s">
        <v>689</v>
      </c>
      <c r="I7" s="18" t="s">
        <v>690</v>
      </c>
    </row>
    <row r="8" customFormat="false" ht="39" hidden="false" customHeight="true" outlineLevel="0" collapsed="false">
      <c r="A8" s="17" t="s">
        <v>691</v>
      </c>
      <c r="B8" s="17" t="s">
        <v>687</v>
      </c>
      <c r="C8" s="18" t="s">
        <v>692</v>
      </c>
      <c r="D8" s="19" t="n">
        <f aca="false">COUNTBLANK(Clean_Data!$G$2:$G$501)</f>
        <v>15</v>
      </c>
      <c r="E8" s="17" t="n">
        <f aca="false">COUNTA(Clean_Data!$A$2:$A$501)</f>
        <v>500</v>
      </c>
      <c r="F8" s="20" t="n">
        <f aca="false">IFERROR(1-D8/E8,"")</f>
        <v>0.97</v>
      </c>
      <c r="G8" s="17" t="str">
        <f aca="false">IF(D8=0,"Pass","Review required")</f>
        <v>Review required</v>
      </c>
      <c r="H8" s="18" t="s">
        <v>693</v>
      </c>
      <c r="I8" s="18" t="s">
        <v>694</v>
      </c>
    </row>
    <row r="9" customFormat="false" ht="26.25" hidden="false" customHeight="true" outlineLevel="0" collapsed="false">
      <c r="A9" s="17" t="s">
        <v>695</v>
      </c>
      <c r="B9" s="17" t="s">
        <v>687</v>
      </c>
      <c r="C9" s="18" t="s">
        <v>696</v>
      </c>
      <c r="D9" s="19" t="n">
        <f aca="false">COUNTBLANK(Clean_Data!$I$2:$I$501)</f>
        <v>18</v>
      </c>
      <c r="E9" s="17" t="n">
        <f aca="false">COUNTA(Clean_Data!$A$2:$A$501)</f>
        <v>500</v>
      </c>
      <c r="F9" s="20" t="n">
        <f aca="false">IFERROR(1-D9/E9,"")</f>
        <v>0.964</v>
      </c>
      <c r="G9" s="17" t="str">
        <f aca="false">IF(D9=0,"Pass","Review required")</f>
        <v>Review required</v>
      </c>
      <c r="H9" s="18" t="s">
        <v>697</v>
      </c>
      <c r="I9" s="18" t="s">
        <v>698</v>
      </c>
    </row>
    <row r="10" customFormat="false" ht="39" hidden="false" customHeight="true" outlineLevel="0" collapsed="false">
      <c r="A10" s="17" t="s">
        <v>699</v>
      </c>
      <c r="B10" s="17" t="s">
        <v>687</v>
      </c>
      <c r="C10" s="18" t="s">
        <v>700</v>
      </c>
      <c r="D10" s="19" t="n">
        <f aca="false">COUNTBLANK(Clean_Data!$L$2:$L$501)</f>
        <v>12</v>
      </c>
      <c r="E10" s="17" t="n">
        <f aca="false">COUNTA(Clean_Data!$A$2:$A$501)</f>
        <v>500</v>
      </c>
      <c r="F10" s="20" t="n">
        <f aca="false">IFERROR(1-D10/E10,"")</f>
        <v>0.976</v>
      </c>
      <c r="G10" s="17" t="str">
        <f aca="false">IF(D10=0,"Pass","Review required")</f>
        <v>Review required</v>
      </c>
      <c r="H10" s="18" t="s">
        <v>701</v>
      </c>
      <c r="I10" s="18" t="s">
        <v>702</v>
      </c>
    </row>
    <row r="11" customFormat="false" ht="39" hidden="false" customHeight="true" outlineLevel="0" collapsed="false">
      <c r="A11" s="17" t="s">
        <v>703</v>
      </c>
      <c r="B11" s="17" t="s">
        <v>704</v>
      </c>
      <c r="C11" s="18" t="s">
        <v>705</v>
      </c>
      <c r="D11" s="19" t="n">
        <f aca="false">COUNTA(Clean_Data!$A$2:$A$501)-SUMPRODUCT(1/COUNTIF(Clean_Data!$A$2:$A$501,Clean_Data!$A$2:$A$501))</f>
        <v>0</v>
      </c>
      <c r="E11" s="17"/>
      <c r="F11" s="17"/>
      <c r="G11" s="17" t="str">
        <f aca="false">IF(D11=0,"Pass","Review required")</f>
        <v>Pass</v>
      </c>
      <c r="H11" s="18" t="s">
        <v>706</v>
      </c>
      <c r="I11" s="18" t="s">
        <v>707</v>
      </c>
    </row>
    <row r="12" customFormat="false" ht="39" hidden="false" customHeight="true" outlineLevel="0" collapsed="false">
      <c r="A12" s="17" t="s">
        <v>708</v>
      </c>
      <c r="B12" s="17" t="s">
        <v>709</v>
      </c>
      <c r="C12" s="18" t="s">
        <v>710</v>
      </c>
      <c r="D12" s="19" t="n">
        <f aca="false">COUNTA(Clean_Data!$A$2:$A$501)-COUNTIF(Clean_Data!$Q$2:$Q$501,"ALIGNED")</f>
        <v>0</v>
      </c>
      <c r="E12" s="17"/>
      <c r="F12" s="17"/>
      <c r="G12" s="17" t="str">
        <f aca="false">IF(D12=0,"Pass","Review required")</f>
        <v>Pass</v>
      </c>
      <c r="H12" s="18" t="s">
        <v>711</v>
      </c>
      <c r="I12" s="18" t="s">
        <v>712</v>
      </c>
    </row>
    <row r="13" customFormat="false" ht="39" hidden="false" customHeight="true" outlineLevel="0" collapsed="false">
      <c r="A13" s="17" t="s">
        <v>713</v>
      </c>
      <c r="B13" s="17" t="s">
        <v>714</v>
      </c>
      <c r="C13" s="18" t="s">
        <v>715</v>
      </c>
      <c r="D13" s="19" t="n">
        <f aca="false">SUMPRODUCT(--ISNUMBER(Clean_Data!$B$2:$B$501),--ISNUMBER(Clean_Data!$K$2:$K$501),--(Clean_Data!$K$2:$K$501&lt;Clean_Data!$B$2:$B$501))</f>
        <v>11</v>
      </c>
      <c r="E13" s="17"/>
      <c r="F13" s="17"/>
      <c r="G13" s="17" t="str">
        <f aca="false">IF(D13=0,"Pass","Review required")</f>
        <v>Review required</v>
      </c>
      <c r="H13" s="18" t="s">
        <v>716</v>
      </c>
      <c r="I13" s="18" t="s">
        <v>717</v>
      </c>
    </row>
    <row r="14" customFormat="false" ht="39" hidden="false" customHeight="true" outlineLevel="0" collapsed="false">
      <c r="A14" s="17" t="s">
        <v>718</v>
      </c>
      <c r="B14" s="17" t="s">
        <v>719</v>
      </c>
      <c r="C14" s="18" t="s">
        <v>720</v>
      </c>
      <c r="D14" s="19" t="n">
        <f aca="false">SUMPRODUCT((Clean_Data!$J$2:$J$501="Closed")*(Clean_Data!$K$2:$K$501=""))</f>
        <v>10</v>
      </c>
      <c r="E14" s="17"/>
      <c r="F14" s="17"/>
      <c r="G14" s="17" t="str">
        <f aca="false">IF(D14=0,"Pass","Review required")</f>
        <v>Review required</v>
      </c>
      <c r="H14" s="18" t="s">
        <v>721</v>
      </c>
      <c r="I14" s="18" t="s">
        <v>722</v>
      </c>
    </row>
    <row r="15" customFormat="false" ht="52.5" hidden="false" customHeight="true" outlineLevel="0" collapsed="false">
      <c r="A15" s="17" t="s">
        <v>723</v>
      </c>
      <c r="B15" s="17" t="s">
        <v>719</v>
      </c>
      <c r="C15" s="18" t="s">
        <v>724</v>
      </c>
      <c r="D15" s="19" t="n">
        <f aca="false">SUMPRODUCT(((Clean_Data!$J$2:$J$501="Open")+(Clean_Data!$J$2:$J$501="In Progress"))*(Clean_Data!$K$2:$K$501&lt;&gt;""))</f>
        <v>8</v>
      </c>
      <c r="E15" s="17"/>
      <c r="F15" s="17"/>
      <c r="G15" s="17" t="str">
        <f aca="false">IF(D15=0,"Pass","Review required")</f>
        <v>Review required</v>
      </c>
      <c r="H15" s="18" t="s">
        <v>725</v>
      </c>
      <c r="I15" s="18" t="s">
        <v>726</v>
      </c>
    </row>
    <row r="16" customFormat="false" ht="39" hidden="false" customHeight="true" outlineLevel="0" collapsed="false">
      <c r="A16" s="17" t="s">
        <v>727</v>
      </c>
      <c r="B16" s="17" t="s">
        <v>728</v>
      </c>
      <c r="C16" s="18" t="s">
        <v>729</v>
      </c>
      <c r="D16" s="19" t="n">
        <f aca="false">COUNTIF(Clean_Data!$N$2:$N$501,"UNMATCHED")</f>
        <v>15</v>
      </c>
      <c r="E16" s="17"/>
      <c r="F16" s="17"/>
      <c r="G16" s="17" t="str">
        <f aca="false">IF(D16=0,"Pass","Review required")</f>
        <v>Review required</v>
      </c>
      <c r="H16" s="18" t="s">
        <v>730</v>
      </c>
      <c r="I16" s="18" t="s">
        <v>731</v>
      </c>
    </row>
    <row r="17" customFormat="false" ht="39" hidden="false" customHeight="true" outlineLevel="0" collapsed="false">
      <c r="A17" s="17" t="s">
        <v>732</v>
      </c>
      <c r="B17" s="17" t="s">
        <v>733</v>
      </c>
      <c r="C17" s="18" t="s">
        <v>734</v>
      </c>
      <c r="D17" s="19" t="n">
        <f aca="false">SUMPRODUCT(--ISERROR(Clean_Data!$M$2:$O$501))</f>
        <v>0</v>
      </c>
      <c r="E17" s="17"/>
      <c r="F17" s="17"/>
      <c r="G17" s="17" t="str">
        <f aca="false">IF(D17=0,"Pass","Review required")</f>
        <v>Pass</v>
      </c>
      <c r="H17" s="18" t="s">
        <v>735</v>
      </c>
      <c r="I17" s="18" t="s">
        <v>736</v>
      </c>
    </row>
    <row r="18" customFormat="false" ht="39" hidden="false" customHeight="true" outlineLevel="0" collapsed="false">
      <c r="A18" s="17" t="s">
        <v>737</v>
      </c>
      <c r="B18" s="17" t="s">
        <v>738</v>
      </c>
      <c r="C18" s="18" t="s">
        <v>739</v>
      </c>
      <c r="D18" s="19" t="n">
        <f aca="false">COUNTIF(Clean_Data!$C$2:$C$501,"UNMATCHED")+COUNTIF(Clean_Data!$D$2:$D$501,"UNMATCHED")+COUNTIF(Clean_Data!$H$2:$H$501,"UNMATCHED")+COUNTIF(Clean_Data!$J$2:$J$501,"UNMATCHED")</f>
        <v>0</v>
      </c>
      <c r="E18" s="17"/>
      <c r="F18" s="17"/>
      <c r="G18" s="17" t="str">
        <f aca="false">IF(D18=0,"Pass","Review required")</f>
        <v>Pass</v>
      </c>
      <c r="H18" s="18" t="s">
        <v>740</v>
      </c>
      <c r="I18" s="18" t="s">
        <v>741</v>
      </c>
    </row>
    <row r="19" customFormat="false" ht="48" hidden="false" customHeight="true" outlineLevel="0" collapsed="false">
      <c r="A19" s="21" t="s">
        <v>742</v>
      </c>
      <c r="B19" s="21" t="s">
        <v>743</v>
      </c>
      <c r="C19" s="21" t="s">
        <v>744</v>
      </c>
      <c r="D19" s="22" t="n">
        <f aca="false">SUMPRODUCT(--(Clean_Data!$B$2:$B$501&lt;&gt;""),--ISTEXT(Clean_Data!$B$2:$B$501))+SUMPRODUCT(--(Clean_Data!$K$2:$K$501&lt;&gt;""),--ISTEXT(Clean_Data!$K$2:$K$501))</f>
        <v>0</v>
      </c>
      <c r="E19" s="21"/>
      <c r="F19" s="21"/>
      <c r="G19" s="21" t="str">
        <f aca="false">IF(D19=0,"Pass","Review required")</f>
        <v>Pass</v>
      </c>
      <c r="H19" s="21" t="s">
        <v>745</v>
      </c>
      <c r="I19" s="21" t="s">
        <v>746</v>
      </c>
    </row>
    <row r="20" customFormat="false" ht="14.25" hidden="false" customHeight="true" outlineLevel="0" collapsed="false">
      <c r="A20" s="15" t="s">
        <v>747</v>
      </c>
      <c r="B20" s="16"/>
      <c r="C20" s="16"/>
      <c r="D20" s="16"/>
      <c r="E20" s="16"/>
      <c r="F20" s="16"/>
      <c r="G20" s="16"/>
      <c r="H20" s="16"/>
      <c r="I20" s="16"/>
    </row>
    <row r="21" customFormat="false" ht="12.75" hidden="false" customHeight="false" outlineLevel="0" collapsed="false">
      <c r="C21" s="23" t="s">
        <v>748</v>
      </c>
      <c r="D21" s="23" t="s">
        <v>749</v>
      </c>
      <c r="H21" s="23" t="s">
        <v>750</v>
      </c>
    </row>
    <row r="22" customFormat="false" ht="12.75" hidden="false" customHeight="false" outlineLevel="0" collapsed="false">
      <c r="C22" s="24" t="s">
        <v>751</v>
      </c>
      <c r="D22" s="25" t="n">
        <f aca="false">COUNTIF(Clean_Data!$J$2:$J$501,"Closed")</f>
        <v>289</v>
      </c>
      <c r="H22" s="26" t="s">
        <v>752</v>
      </c>
    </row>
    <row r="23" customFormat="false" ht="39" hidden="false" customHeight="true" outlineLevel="0" collapsed="false">
      <c r="C23" s="24" t="s">
        <v>753</v>
      </c>
      <c r="D23" s="25" t="n">
        <f aca="false">SUMPRODUCT(--(Clean_Data!$J$2:$J$501="Closed"),--ISNUMBER(Clean_Data!$K$2:$K$501),--ISNUMBER(Clean_Data!$M$2:$M$501),--(Clean_Data!$M$2:$M$501&gt;=0),--ISNUMBER(Clean_Data!$N$2:$N$501))</f>
        <v>259</v>
      </c>
      <c r="H23" s="26" t="s">
        <v>754</v>
      </c>
    </row>
    <row r="24" customFormat="false" ht="26.25" hidden="false" customHeight="true" outlineLevel="0" collapsed="false">
      <c r="C24" s="24" t="s">
        <v>755</v>
      </c>
      <c r="D24" s="25" t="n">
        <f aca="false">SUMPRODUCT(--(Clean_Data!$J$2:$J$501="Closed"),--(Clean_Data!$O$2:$O$501=TRUE()))</f>
        <v>143</v>
      </c>
      <c r="H24" s="26" t="s">
        <v>756</v>
      </c>
    </row>
    <row r="25" customFormat="false" ht="26.25" hidden="false" customHeight="true" outlineLevel="0" collapsed="false">
      <c r="C25" s="24" t="s">
        <v>757</v>
      </c>
      <c r="D25" s="25" t="n">
        <f aca="false">SUMPRODUCT(--(Clean_Data!$J$2:$J$501="Closed"),--(Clean_Data!$O$2:$O$501=FALSE()))</f>
        <v>116</v>
      </c>
      <c r="H25" s="26" t="s">
        <v>758</v>
      </c>
    </row>
    <row r="26" customFormat="false" ht="39" hidden="false" customHeight="true" outlineLevel="0" collapsed="false">
      <c r="C26" s="24" t="s">
        <v>759</v>
      </c>
      <c r="D26" s="25" t="n">
        <f aca="false">D22-D23</f>
        <v>30</v>
      </c>
      <c r="H26" s="26" t="s">
        <v>760</v>
      </c>
    </row>
    <row r="27" customFormat="false" ht="12.75" hidden="false" customHeight="false" outlineLevel="0" collapsed="false">
      <c r="C27" s="26"/>
      <c r="D27" s="25"/>
      <c r="H27" s="26"/>
    </row>
    <row r="28" customFormat="false" ht="14.25" hidden="false" customHeight="true" outlineLevel="0" collapsed="false">
      <c r="A28" s="15" t="s">
        <v>761</v>
      </c>
      <c r="B28" s="16"/>
      <c r="C28" s="27"/>
      <c r="D28" s="28"/>
      <c r="E28" s="16"/>
      <c r="F28" s="16"/>
      <c r="G28" s="16"/>
      <c r="H28" s="27"/>
      <c r="I28" s="16"/>
    </row>
    <row r="29" customFormat="false" ht="26.25" hidden="false" customHeight="true" outlineLevel="0" collapsed="false">
      <c r="C29" s="26" t="s">
        <v>762</v>
      </c>
      <c r="D29" s="25" t="n">
        <f aca="false">SUMPRODUCT((Clean_Data!$J$2:$J$501="Closed")*(Clean_Data!$K$2:$K$501=""))</f>
        <v>10</v>
      </c>
      <c r="H29" s="26" t="s">
        <v>763</v>
      </c>
    </row>
    <row r="30" customFormat="false" ht="39" hidden="false" customHeight="true" outlineLevel="0" collapsed="false">
      <c r="C30" s="26" t="s">
        <v>764</v>
      </c>
      <c r="D30" s="25" t="n">
        <f aca="false">COUNTIFS(Clean_Data!$J$2:$J$501,"Closed",Clean_Data!$K$2:$K$501,"&lt;&gt;",Clean_Data!$M$2:$M$501,"&lt;0")</f>
        <v>11</v>
      </c>
      <c r="H30" s="26" t="s">
        <v>765</v>
      </c>
    </row>
    <row r="31" customFormat="false" ht="26.25" hidden="false" customHeight="true" outlineLevel="0" collapsed="false">
      <c r="C31" s="26" t="s">
        <v>766</v>
      </c>
      <c r="D31" s="25" t="n">
        <f aca="false">COUNTIFS(Clean_Data!$J$2:$J$501,"Closed",Clean_Data!$K$2:$K$501,"&lt;&gt;",Clean_Data!$M$2:$M$501,"&gt;=0",Clean_Data!$N$2:$N$501,"UNMATCHED")</f>
        <v>9</v>
      </c>
      <c r="H31" s="26" t="s">
        <v>767</v>
      </c>
    </row>
    <row r="32" customFormat="false" ht="52.5" hidden="false" customHeight="true" outlineLevel="0" collapsed="false">
      <c r="C32" s="26" t="s">
        <v>768</v>
      </c>
      <c r="D32" s="25" t="n">
        <f aca="false">SUMPRODUCT(--(Clean_Data!$J$2:$J$501="Closed"),--(Clean_Data!$K$2:$K$501&lt;&gt;""),--(Clean_Data!$M$2:$M$501&gt;=0),--(Clean_Data!$N$2:$N$501&lt;&gt;"UNMATCHED"),--(Clean_Data!$O$2:$O$501="NOT ASSESSED"))</f>
        <v>0</v>
      </c>
      <c r="H32" s="26" t="s">
        <v>769</v>
      </c>
    </row>
    <row r="33" customFormat="false" ht="12.75" hidden="false" customHeight="false" outlineLevel="0" collapsed="false">
      <c r="C33" s="24" t="s">
        <v>770</v>
      </c>
      <c r="D33" s="25" t="n">
        <f aca="false">SUM(D29:D32)</f>
        <v>30</v>
      </c>
      <c r="H33" s="26" t="s">
        <v>771</v>
      </c>
    </row>
    <row r="34" customFormat="false" ht="39" hidden="false" customHeight="true" outlineLevel="0" collapsed="false">
      <c r="C34" s="24" t="s">
        <v>772</v>
      </c>
      <c r="D34" s="25" t="n">
        <f aca="false">D22-D23-D33</f>
        <v>0</v>
      </c>
      <c r="H34" s="26" t="s">
        <v>773</v>
      </c>
    </row>
    <row r="35" customFormat="false" ht="12.75" hidden="false" customHeight="false" outlineLevel="0" collapsed="false">
      <c r="C35" s="26"/>
      <c r="D35" s="25"/>
      <c r="H35" s="26"/>
    </row>
    <row r="36" customFormat="false" ht="14.25" hidden="false" customHeight="true" outlineLevel="0" collapsed="false">
      <c r="A36" s="15" t="s">
        <v>774</v>
      </c>
      <c r="B36" s="16"/>
      <c r="C36" s="27"/>
      <c r="D36" s="28"/>
      <c r="E36" s="16"/>
      <c r="F36" s="16"/>
      <c r="G36" s="16"/>
      <c r="H36" s="27"/>
      <c r="I36" s="16"/>
    </row>
    <row r="37" customFormat="false" ht="12.75" hidden="false" customHeight="false" outlineLevel="0" collapsed="false">
      <c r="C37" s="26" t="s">
        <v>775</v>
      </c>
      <c r="D37" s="25" t="n">
        <f aca="false">SUMPRODUCT((Clean_Data!$J$2:$J$501="Closed")*(Clean_Data!$K$2:$K$501=""))</f>
        <v>10</v>
      </c>
      <c r="H37" s="26"/>
    </row>
    <row r="38" customFormat="false" ht="12.75" hidden="false" customHeight="false" outlineLevel="0" collapsed="false">
      <c r="C38" s="26" t="s">
        <v>776</v>
      </c>
      <c r="D38" s="25" t="n">
        <f aca="false">COUNTIFS(Clean_Data!$J$2:$J$501,"Closed",Clean_Data!$M$2:$M$501,"&lt;0")</f>
        <v>11</v>
      </c>
      <c r="H38" s="26"/>
    </row>
    <row r="39" customFormat="false" ht="12.75" hidden="false" customHeight="false" outlineLevel="0" collapsed="false">
      <c r="C39" s="26" t="s">
        <v>777</v>
      </c>
      <c r="D39" s="25" t="n">
        <f aca="false">SUMPRODUCT((Clean_Data!$J$2:$J$501="Closed")*(Clean_Data!$G$2:$G$501=""))</f>
        <v>10</v>
      </c>
      <c r="H39" s="26"/>
    </row>
    <row r="40" customFormat="false" ht="52.5" hidden="false" customHeight="true" outlineLevel="0" collapsed="false">
      <c r="C40" s="24" t="s">
        <v>778</v>
      </c>
      <c r="D40" s="25" t="n">
        <f aca="false">SUM(D37:D39)</f>
        <v>31</v>
      </c>
      <c r="H40" s="26" t="s">
        <v>779</v>
      </c>
    </row>
    <row r="42" customFormat="false" ht="14.25" hidden="false" customHeight="true" outlineLevel="0" collapsed="false">
      <c r="A42" s="15" t="s">
        <v>780</v>
      </c>
      <c r="B42" s="16"/>
      <c r="C42" s="16"/>
      <c r="D42" s="16"/>
      <c r="E42" s="16"/>
      <c r="F42" s="16"/>
      <c r="G42" s="16"/>
      <c r="H42" s="16"/>
      <c r="I42" s="16"/>
    </row>
    <row r="43" customFormat="false" ht="39" hidden="false" customHeight="true" outlineLevel="0" collapsed="false">
      <c r="C43" s="11" t="str">
        <f aca="false">"1. Total records assessed: "&amp;TEXT(COUNTA(Clean_Data!$A$2:$A$501),"0")&amp;" cleaned Community Feedback Mechanism cases. Duplicate records beyond the first occurrence: "&amp;TEXT(D11,"0")&amp;"; alignment exceptions: "&amp;TEXT(D12,"0")&amp;"."</f>
        <v>1. Total records assessed: 500 cleaned Community Feedback Mechanism cases. Duplicate records beyond the first occurrence: 0; alignment exceptions: 0.</v>
      </c>
    </row>
    <row r="44" customFormat="false" ht="66" hidden="false" customHeight="true" outlineLevel="0" collapsed="false">
      <c r="C44" s="11" t="str">
        <f aca="false">"2. Three priority issues: "&amp;TEXT(D8,"0")&amp;" cases lack Sensitivity, preventing assignment of the response-time target; "&amp;TEXT(D13,"0")&amp;" cases have closure dates earlier than receipt; and "&amp;TEXT(D14,"0")&amp;" Closed cases lack a closure date. In addition, Sector is missing on "&amp;TEXT(D7,"0")&amp;" cases, limiting disaggregated reporting."</f>
        <v>2. Three priority issues: 15 cases lack Sensitivity, preventing assignment of the response-time target; 11 cases have closure dates earlier than receipt; and 10 Closed cases lack a closure date. In addition, Sector is missing on 22 cases, limiting disaggregated reporting.</v>
      </c>
    </row>
    <row r="45" customFormat="false" ht="66" hidden="false" customHeight="true" outlineLevel="0" collapsed="false">
      <c r="C45" s="11" t="str">
        <f aca="false">"3. Closed cases excluded from target assessment: "&amp;TEXT(D26,"0")&amp;" of "&amp;TEXT(D22,"0")&amp;" closed cases - "&amp;TEXT(D29,"0")&amp;" with no closure date, "&amp;TEXT(D30,"0")&amp;" with a negative response time, "&amp;TEXT(D31,"0")&amp;" with unresolved sensitivity, "&amp;TEXT(D32,"0")&amp;" other. Performance of "&amp;TEXT(D24,"0")&amp;" within target and "&amp;TEXT(D25,"0")&amp;" outside target is therefore based on "&amp;TEXT(D23,"0")&amp;" cases, not "&amp;TEXT(D22,"0")&amp;"."</f>
        <v>3. Closed cases excluded from target assessment: 30 of 289 closed cases - 10 with no closure date, 11 with a negative response time, 9 with unresolved sensitivity, 0 other. Performance of 143 within target and 116 outside target is therefore based on 259 cases, not 289.</v>
      </c>
    </row>
    <row r="46" customFormat="false" ht="52.5" hidden="false" customHeight="true" outlineLevel="0" collapsed="false">
      <c r="C46" s="11" t="str">
        <f aca="false">"4. First question to the field team: can the flagged closure dates, case statuses and missing sensitivity classifications be verified at source before any response-time performance figure is reported?"</f>
        <v>4. First question to the field team: can the flagged closure dates, case statuses and missing sensitivity classifications be verified at source before any response-time performance figure is reported?</v>
      </c>
    </row>
  </sheetData>
  <conditionalFormatting sqref="D7:D18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conditionalFormatting sqref="F7:F18">
    <cfRule type="expression" priority="4" aboveAverage="0" equalAverage="0" bottom="0" percent="0" rank="0" text="" dxfId="2">
      <formula>AND($F7&lt;&gt;"",$F7&lt;1)</formula>
    </cfRule>
  </conditionalFormatting>
  <conditionalFormatting sqref="G7:G18">
    <cfRule type="cellIs" priority="5" operator="equal" aboveAverage="0" equalAverage="0" bottom="0" percent="0" rank="0" text="" dxfId="1">
      <formula>"Pass"</formula>
    </cfRule>
    <cfRule type="cellIs" priority="6" operator="equal" aboveAverage="0" equalAverage="0" bottom="0" percent="0" rank="0" text="" dxfId="2">
      <formula>"Review required"</formula>
    </cfRule>
  </conditionalFormatting>
  <conditionalFormatting sqref="D34">
    <cfRule type="cellIs" priority="7" operator="notEqual" aboveAverage="0" equalAverage="0" bottom="0" percent="0" rank="0" text="" dxfId="3">
      <formula>0</formula>
    </cfRule>
    <cfRule type="cellIs" priority="8" operator="equal" aboveAverage="0" equalAverage="0" bottom="0" percent="0" rank="0" text="" dxfId="1">
      <formula>0</formula>
    </cfRule>
  </conditionalFormatting>
  <conditionalFormatting sqref="D40">
    <cfRule type="cellIs" priority="9" operator="greaterThan" aboveAverage="0" equalAverage="0" bottom="0" percent="0" rank="0" text="" dxfId="2">
      <formula>0</formula>
    </cfRule>
  </conditionalFormatting>
  <conditionalFormatting sqref="D19">
    <cfRule type="cellIs" priority="10" operator="greaterThan" aboveAverage="0" equalAverage="0" bottom="0" percent="0" rank="0" text="" dxfId="4">
      <formula>0</formula>
    </cfRule>
    <cfRule type="cellIs" priority="11" operator="equal" aboveAverage="0" equalAverage="0" bottom="0" percent="0" rank="0" text="" dxfId="5">
      <formula>0</formula>
    </cfRule>
  </conditionalFormatting>
  <conditionalFormatting sqref="G19">
    <cfRule type="cellIs" priority="12" operator="equal" aboveAverage="0" equalAverage="0" bottom="0" percent="0" rank="0" text="" dxfId="5">
      <formula>"Pass"</formula>
    </cfRule>
    <cfRule type="cellIs" priority="13" operator="equal" aboveAverage="0" equalAverage="0" bottom="0" percent="0" rank="0" text="" dxfId="6">
      <formula>"Review required"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1"/>
  <sheetViews>
    <sheetView showFormulas="false" showGridLines="true" showRowColHeaders="true" showZeros="true" rightToLeft="false" tabSelected="true" showOutlineSymbols="true" defaultGridColor="true" view="normal" topLeftCell="A498" colorId="64" zoomScale="100" zoomScaleNormal="100" zoomScalePageLayoutView="100" workbookViewId="0">
      <pane xSplit="0" ySplit="1" topLeftCell="A2" activePane="bottomLeft" state="frozen"/>
      <selection pane="topLeft" activeCell="A498" activeCellId="0" sqref="A498"/>
      <selection pane="bottom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27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58"/>
    <col collapsed="false" customWidth="true" hidden="false" outlineLevel="0" max="13" min="13" style="0" width="15"/>
    <col collapsed="false" customWidth="true" hidden="false" outlineLevel="0" max="14" min="14" style="0" width="22"/>
    <col collapsed="false" customWidth="true" hidden="false" outlineLevel="0" max="15" min="15" style="0" width="17"/>
    <col collapsed="false" customWidth="true" hidden="false" outlineLevel="0" max="16" min="16" style="0" width="22"/>
    <col collapsed="false" customWidth="true" hidden="false" outlineLevel="0" max="17" min="17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781</v>
      </c>
      <c r="N1" s="1" t="s">
        <v>632</v>
      </c>
      <c r="O1" s="1" t="s">
        <v>782</v>
      </c>
      <c r="P1" s="1" t="s">
        <v>783</v>
      </c>
      <c r="Q1" s="1" t="s">
        <v>784</v>
      </c>
    </row>
    <row r="2" customFormat="false" ht="19.5" hidden="false" customHeight="true" outlineLevel="0" collapsed="false">
      <c r="A2" s="29" t="s">
        <v>12</v>
      </c>
      <c r="B2" s="30" t="n">
        <f aca="false">IF(Raw_Data!B2="","",IF(ISTEXT(Raw_Data!B2),IFERROR(DATE(VALUE(RIGHT(TRIM(Raw_Data!B2),4)),VALUE(MID(TRIM(Raw_Data!B2),4,2)),VALUE(LEFT(TRIM(Raw_Data!B2),2))),"CHECK"),Raw_Data!B2))</f>
        <v>46193</v>
      </c>
      <c r="C2" s="31" t="str">
        <f aca="false">IFERROR(INDEX(Reference_Lists!$C$23:$C$35,MATCH(PROPER(TRIM(Raw_Data!C2)),Reference_Lists!$B$23:$B$35,0)),"UNMATCHED")</f>
        <v>In-Person at Distribution</v>
      </c>
      <c r="D2" s="31" t="str">
        <f aca="false">IFERROR(INDEX(Reference_Lists!$C$36:$C$50,MATCH(PROPER(TRIM(Raw_Data!D2)),Reference_Lists!$B$36:$B$50,0)),"UNMATCHED")</f>
        <v>Nuseirat</v>
      </c>
      <c r="E2" s="31" t="str">
        <f aca="false">IF(Raw_Data!E2="","",Raw_Data!E2)</f>
        <v>Food Security</v>
      </c>
      <c r="F2" s="31" t="str">
        <f aca="false">IF(Raw_Data!F2="","",Raw_Data!F2)</f>
        <v>Request for Information</v>
      </c>
      <c r="G2" s="32" t="str">
        <f aca="false">IF(Raw_Data!G2="","",Raw_Data!G2)</f>
        <v>Non-Sensitive</v>
      </c>
      <c r="H2" s="32" t="str">
        <f aca="false">IFERROR(INDEX(Reference_Lists!$C$51:$C$57,MATCH(PROPER(TRIM(Raw_Data!H2)),Reference_Lists!$B$51:$B$57,0)),"UNMATCHED")</f>
        <v>Female</v>
      </c>
      <c r="I2" s="32" t="str">
        <f aca="false">IF(Raw_Data!I2="","",Raw_Data!I2)</f>
        <v>60+</v>
      </c>
      <c r="J2" s="32" t="str">
        <f aca="false">IFERROR(INDEX(Reference_Lists!$C$58:$C$65,MATCH(PROPER(TRIM(Raw_Data!J2)),Reference_Lists!$B$58:$B$65,0)),"UNMATCHED")</f>
        <v>Closed</v>
      </c>
      <c r="K2" s="30" t="n">
        <f aca="false">IF(Raw_Data!K2="","",IF(ISTEXT(Raw_Data!K2),IFERROR(DATE(VALUE(RIGHT(TRIM(Raw_Data!K2),4)),VALUE(MID(TRIM(Raw_Data!K2),4,2)),VALUE(LEFT(TRIM(Raw_Data!K2),2))),"CHECK"),Raw_Data!K2))</f>
        <v>46203</v>
      </c>
      <c r="L2" s="33" t="str">
        <f aca="false">IF(Raw_Data!L2="","",Raw_Data!L2)</f>
        <v/>
      </c>
      <c r="M2" s="34" t="n">
        <f aca="false">IF(OR(B2="",K2=""),"",IFERROR(K2-B2,"CHECK"))</f>
        <v>10</v>
      </c>
      <c r="N2" s="34" t="n">
        <f aca="false">IFERROR(INDEX(Reference_Lists!$H$13:$H$14,MATCH(G2,Reference_Lists!$G$13:$G$14,0)),"UNMATCHED")</f>
        <v>15</v>
      </c>
      <c r="O2" s="35" t="b">
        <f aca="false">IF(AND(J2="Closed",ISNUMBER(M2),ISNUMBER(N2),M2&gt;=0),M2&lt;=N2,"NOT ASSESSED")</f>
        <v>1</v>
      </c>
      <c r="P2" s="36" t="str">
        <f aca="false">Raw_Data!A2</f>
        <v>CFM-2026-0367</v>
      </c>
      <c r="Q2" s="37" t="str">
        <f aca="false">IFERROR(IF(OR($A2="",$P2=""),"MISSING ID",IF(EXACT($A2,$P2),"ALIGNED","MISMATCH")),"CHECK")</f>
        <v>ALIGNED</v>
      </c>
    </row>
    <row r="3" customFormat="false" ht="19.5" hidden="false" customHeight="true" outlineLevel="0" collapsed="false">
      <c r="A3" s="29" t="s">
        <v>21</v>
      </c>
      <c r="B3" s="30" t="n">
        <f aca="false">IF(Raw_Data!B3="","",IF(ISTEXT(Raw_Data!B3),IFERROR(DATE(VALUE(RIGHT(TRIM(Raw_Data!B3),4)),VALUE(MID(TRIM(Raw_Data!B3),4,2)),VALUE(LEFT(TRIM(Raw_Data!B3),2))),"CHECK"),Raw_Data!B3))</f>
        <v>46150</v>
      </c>
      <c r="C3" s="31" t="str">
        <f aca="false">IFERROR(INDEX(Reference_Lists!$C$23:$C$35,MATCH(PROPER(TRIM(Raw_Data!C3)),Reference_Lists!$B$23:$B$35,0)),"UNMATCHED")</f>
        <v>Phone Hotline</v>
      </c>
      <c r="D3" s="31" t="str">
        <f aca="false">IFERROR(INDEX(Reference_Lists!$C$36:$C$50,MATCH(PROPER(TRIM(Raw_Data!D3)),Reference_Lists!$B$36:$B$50,0)),"UNMATCHED")</f>
        <v>Khan Yunis</v>
      </c>
      <c r="E3" s="31" t="str">
        <f aca="false">IF(Raw_Data!E3="","",Raw_Data!E3)</f>
        <v>Food Security</v>
      </c>
      <c r="F3" s="31" t="str">
        <f aca="false">IF(Raw_Data!F3="","",Raw_Data!F3)</f>
        <v>Complaint</v>
      </c>
      <c r="G3" s="32" t="str">
        <f aca="false">IF(Raw_Data!G3="","",Raw_Data!G3)</f>
        <v>Non-Sensitive</v>
      </c>
      <c r="H3" s="32" t="str">
        <f aca="false">IFERROR(INDEX(Reference_Lists!$C$51:$C$57,MATCH(PROPER(TRIM(Raw_Data!H3)),Reference_Lists!$B$51:$B$57,0)),"UNMATCHED")</f>
        <v>Female</v>
      </c>
      <c r="I3" s="32" t="str">
        <f aca="false">IF(Raw_Data!I3="","",Raw_Data!I3)</f>
        <v>45-59</v>
      </c>
      <c r="J3" s="32" t="str">
        <f aca="false">IFERROR(INDEX(Reference_Lists!$C$58:$C$65,MATCH(PROPER(TRIM(Raw_Data!J3)),Reference_Lists!$B$58:$B$65,0)),"UNMATCHED")</f>
        <v>Closed</v>
      </c>
      <c r="K3" s="30" t="n">
        <f aca="false">IF(Raw_Data!K3="","",IF(ISTEXT(Raw_Data!K3),IFERROR(DATE(VALUE(RIGHT(TRIM(Raw_Data!K3),4)),VALUE(MID(TRIM(Raw_Data!K3),4,2)),VALUE(LEFT(TRIM(Raw_Data!K3),2))),"CHECK"),Raw_Data!K3))</f>
        <v>46153</v>
      </c>
      <c r="L3" s="33" t="str">
        <f aca="false">IF(Raw_Data!L3="","",Raw_Data!L3)</f>
        <v>Food parcel contents did not match the announced list.</v>
      </c>
      <c r="M3" s="34" t="n">
        <f aca="false">IF(OR(B3="",K3=""),"",IFERROR(K3-B3,"CHECK"))</f>
        <v>3</v>
      </c>
      <c r="N3" s="34" t="n">
        <f aca="false">IFERROR(INDEX(Reference_Lists!$H$13:$H$14,MATCH(G3,Reference_Lists!$G$13:$G$14,0)),"UNMATCHED")</f>
        <v>15</v>
      </c>
      <c r="O3" s="35" t="b">
        <f aca="false">IF(AND(J3="Closed",ISNUMBER(M3),ISNUMBER(N3),M3&gt;=0),M3&lt;=N3,"NOT ASSESSED")</f>
        <v>1</v>
      </c>
      <c r="P3" s="36" t="str">
        <f aca="false">Raw_Data!A3</f>
        <v>CFM-2026-0154</v>
      </c>
      <c r="Q3" s="37" t="str">
        <f aca="false">IFERROR(IF(OR($A3="",$P3=""),"MISSING ID",IF(EXACT($A3,$P3),"ALIGNED","MISMATCH")),"CHECK")</f>
        <v>ALIGNED</v>
      </c>
    </row>
    <row r="4" customFormat="false" ht="19.5" hidden="false" customHeight="true" outlineLevel="0" collapsed="false">
      <c r="A4" s="29" t="s">
        <v>27</v>
      </c>
      <c r="B4" s="30" t="n">
        <f aca="false">IF(Raw_Data!B4="","",IF(ISTEXT(Raw_Data!B4),IFERROR(DATE(VALUE(RIGHT(TRIM(Raw_Data!B4),4)),VALUE(MID(TRIM(Raw_Data!B4),4,2)),VALUE(LEFT(TRIM(Raw_Data!B4),2))),"CHECK"),Raw_Data!B4))</f>
        <v>46144</v>
      </c>
      <c r="C4" s="31" t="str">
        <f aca="false">IFERROR(INDEX(Reference_Lists!$C$23:$C$35,MATCH(PROPER(TRIM(Raw_Data!C4)),Reference_Lists!$B$23:$B$35,0)),"UNMATCHED")</f>
        <v>Suggestion Box</v>
      </c>
      <c r="D4" s="31" t="str">
        <f aca="false">IFERROR(INDEX(Reference_Lists!$C$36:$C$50,MATCH(PROPER(TRIM(Raw_Data!D4)),Reference_Lists!$B$36:$B$50,0)),"UNMATCHED")</f>
        <v>Khan Yunis</v>
      </c>
      <c r="E4" s="31" t="str">
        <f aca="false">IF(Raw_Data!E4="","",Raw_Data!E4)</f>
        <v>Shelter</v>
      </c>
      <c r="F4" s="31" t="str">
        <f aca="false">IF(Raw_Data!F4="","",Raw_Data!F4)</f>
        <v>Suggestion</v>
      </c>
      <c r="G4" s="32" t="str">
        <f aca="false">IF(Raw_Data!G4="","",Raw_Data!G4)</f>
        <v>Non-Sensitive</v>
      </c>
      <c r="H4" s="32" t="str">
        <f aca="false">IFERROR(INDEX(Reference_Lists!$C$51:$C$57,MATCH(PROPER(TRIM(Raw_Data!H4)),Reference_Lists!$B$51:$B$57,0)),"UNMATCHED")</f>
        <v>Female</v>
      </c>
      <c r="I4" s="32" t="str">
        <f aca="false">IF(Raw_Data!I4="","",Raw_Data!I4)</f>
        <v>45-59</v>
      </c>
      <c r="J4" s="32" t="str">
        <f aca="false">IFERROR(INDEX(Reference_Lists!$C$58:$C$65,MATCH(PROPER(TRIM(Raw_Data!J4)),Reference_Lists!$B$58:$B$65,0)),"UNMATCHED")</f>
        <v>Closed</v>
      </c>
      <c r="K4" s="30" t="n">
        <f aca="false">IF(Raw_Data!K4="","",IF(ISTEXT(Raw_Data!K4),IFERROR(DATE(VALUE(RIGHT(TRIM(Raw_Data!K4),4)),VALUE(MID(TRIM(Raw_Data!K4),4,2)),VALUE(LEFT(TRIM(Raw_Data!K4),2))),"CHECK"),Raw_Data!K4))</f>
        <v>46151</v>
      </c>
      <c r="L4" s="33" t="str">
        <f aca="false">IF(Raw_Data!L4="","",Raw_Data!L4)</f>
        <v>Tarpaulin received is torn and does not cover the shelter area.</v>
      </c>
      <c r="M4" s="34" t="n">
        <f aca="false">IF(OR(B4="",K4=""),"",IFERROR(K4-B4,"CHECK"))</f>
        <v>7</v>
      </c>
      <c r="N4" s="34" t="n">
        <f aca="false">IFERROR(INDEX(Reference_Lists!$H$13:$H$14,MATCH(G4,Reference_Lists!$G$13:$G$14,0)),"UNMATCHED")</f>
        <v>15</v>
      </c>
      <c r="O4" s="35" t="b">
        <f aca="false">IF(AND(J4="Closed",ISNUMBER(M4),ISNUMBER(N4),M4&gt;=0),M4&lt;=N4,"NOT ASSESSED")</f>
        <v>1</v>
      </c>
      <c r="P4" s="36" t="str">
        <f aca="false">Raw_Data!A4</f>
        <v>CFM-2026-0388</v>
      </c>
      <c r="Q4" s="37" t="str">
        <f aca="false">IFERROR(IF(OR($A4="",$P4=""),"MISSING ID",IF(EXACT($A4,$P4),"ALIGNED","MISMATCH")),"CHECK")</f>
        <v>ALIGNED</v>
      </c>
    </row>
    <row r="5" customFormat="false" ht="19.5" hidden="false" customHeight="true" outlineLevel="0" collapsed="false">
      <c r="A5" s="29" t="s">
        <v>33</v>
      </c>
      <c r="B5" s="30" t="n">
        <f aca="false">IF(Raw_Data!B5="","",IF(ISTEXT(Raw_Data!B5),IFERROR(DATE(VALUE(RIGHT(TRIM(Raw_Data!B5),4)),VALUE(MID(TRIM(Raw_Data!B5),4,2)),VALUE(LEFT(TRIM(Raw_Data!B5),2))),"CHECK"),Raw_Data!B5))</f>
        <v>46075</v>
      </c>
      <c r="C5" s="31" t="str">
        <f aca="false">IFERROR(INDEX(Reference_Lists!$C$23:$C$35,MATCH(PROPER(TRIM(Raw_Data!C5)),Reference_Lists!$B$23:$B$35,0)),"UNMATCHED")</f>
        <v>Community Focal Point</v>
      </c>
      <c r="D5" s="31" t="str">
        <f aca="false">IFERROR(INDEX(Reference_Lists!$C$36:$C$50,MATCH(PROPER(TRIM(Raw_Data!D5)),Reference_Lists!$B$36:$B$50,0)),"UNMATCHED")</f>
        <v>Gaza City</v>
      </c>
      <c r="E5" s="31" t="str">
        <f aca="false">IF(Raw_Data!E5="","",Raw_Data!E5)</f>
        <v>Health</v>
      </c>
      <c r="F5" s="31" t="str">
        <f aca="false">IF(Raw_Data!F5="","",Raw_Data!F5)</f>
        <v>Sensitive Complaint</v>
      </c>
      <c r="G5" s="32" t="str">
        <f aca="false">IF(Raw_Data!G5="","",Raw_Data!G5)</f>
        <v>Sensitive</v>
      </c>
      <c r="H5" s="32" t="str">
        <f aca="false">IFERROR(INDEX(Reference_Lists!$C$51:$C$57,MATCH(PROPER(TRIM(Raw_Data!H5)),Reference_Lists!$B$51:$B$57,0)),"UNMATCHED")</f>
        <v>Female</v>
      </c>
      <c r="I5" s="32" t="str">
        <f aca="false">IF(Raw_Data!I5="","",Raw_Data!I5)</f>
        <v>30-44</v>
      </c>
      <c r="J5" s="32" t="str">
        <f aca="false">IFERROR(INDEX(Reference_Lists!$C$58:$C$65,MATCH(PROPER(TRIM(Raw_Data!J5)),Reference_Lists!$B$58:$B$65,0)),"UNMATCHED")</f>
        <v>Closed</v>
      </c>
      <c r="K5" s="30" t="n">
        <f aca="false">IF(Raw_Data!K5="","",IF(ISTEXT(Raw_Data!K5),IFERROR(DATE(VALUE(RIGHT(TRIM(Raw_Data!K5),4)),VALUE(MID(TRIM(Raw_Data!K5),4,2)),VALUE(LEFT(TRIM(Raw_Data!K5),2))),"CHECK"),Raw_Data!K5))</f>
        <v>46078</v>
      </c>
      <c r="L5" s="33" t="str">
        <f aca="false">IF(Raw_Data!L5="","",Raw_Data!L5)</f>
        <v>Sensitive case - details recorded separately by the focal point; not stored in this tracker.</v>
      </c>
      <c r="M5" s="34" t="n">
        <f aca="false">IF(OR(B5="",K5=""),"",IFERROR(K5-B5,"CHECK"))</f>
        <v>3</v>
      </c>
      <c r="N5" s="34" t="n">
        <f aca="false">IFERROR(INDEX(Reference_Lists!$H$13:$H$14,MATCH(G5,Reference_Lists!$G$13:$G$14,0)),"UNMATCHED")</f>
        <v>3</v>
      </c>
      <c r="O5" s="35" t="b">
        <f aca="false">IF(AND(J5="Closed",ISNUMBER(M5),ISNUMBER(N5),M5&gt;=0),M5&lt;=N5,"NOT ASSESSED")</f>
        <v>1</v>
      </c>
      <c r="P5" s="36" t="str">
        <f aca="false">Raw_Data!A5</f>
        <v>CFM-2026-0498</v>
      </c>
      <c r="Q5" s="37" t="str">
        <f aca="false">IFERROR(IF(OR($A5="",$P5=""),"MISSING ID",IF(EXACT($A5,$P5),"ALIGNED","MISMATCH")),"CHECK")</f>
        <v>ALIGNED</v>
      </c>
    </row>
    <row r="6" customFormat="false" ht="19.5" hidden="false" customHeight="true" outlineLevel="0" collapsed="false">
      <c r="A6" s="29" t="s">
        <v>42</v>
      </c>
      <c r="B6" s="30" t="n">
        <f aca="false">IF(Raw_Data!B6="","",IF(ISTEXT(Raw_Data!B6),IFERROR(DATE(VALUE(RIGHT(TRIM(Raw_Data!B6),4)),VALUE(MID(TRIM(Raw_Data!B6),4,2)),VALUE(LEFT(TRIM(Raw_Data!B6),2))),"CHECK"),Raw_Data!B6))</f>
        <v>46137</v>
      </c>
      <c r="C6" s="31" t="str">
        <f aca="false">IFERROR(INDEX(Reference_Lists!$C$23:$C$35,MATCH(PROPER(TRIM(Raw_Data!C6)),Reference_Lists!$B$23:$B$35,0)),"UNMATCHED")</f>
        <v>In-Person at Distribution</v>
      </c>
      <c r="D6" s="31" t="str">
        <f aca="false">IFERROR(INDEX(Reference_Lists!$C$36:$C$50,MATCH(PROPER(TRIM(Raw_Data!D6)),Reference_Lists!$B$36:$B$50,0)),"UNMATCHED")</f>
        <v>Deir al-Balah</v>
      </c>
      <c r="E6" s="31" t="str">
        <f aca="false">IF(Raw_Data!E6="","",Raw_Data!E6)</f>
        <v>Shelter</v>
      </c>
      <c r="F6" s="31" t="str">
        <f aca="false">IF(Raw_Data!F6="","",Raw_Data!F6)</f>
        <v>Suggestion</v>
      </c>
      <c r="G6" s="32" t="str">
        <f aca="false">IF(Raw_Data!G6="","",Raw_Data!G6)</f>
        <v>Non-Sensitive</v>
      </c>
      <c r="H6" s="32" t="str">
        <f aca="false">IFERROR(INDEX(Reference_Lists!$C$51:$C$57,MATCH(PROPER(TRIM(Raw_Data!H6)),Reference_Lists!$B$51:$B$57,0)),"UNMATCHED")</f>
        <v>Female</v>
      </c>
      <c r="I6" s="32" t="str">
        <f aca="false">IF(Raw_Data!I6="","",Raw_Data!I6)</f>
        <v>45-59</v>
      </c>
      <c r="J6" s="32" t="str">
        <f aca="false">IFERROR(INDEX(Reference_Lists!$C$58:$C$65,MATCH(PROPER(TRIM(Raw_Data!J6)),Reference_Lists!$B$58:$B$65,0)),"UNMATCHED")</f>
        <v>Closed</v>
      </c>
      <c r="K6" s="30" t="n">
        <f aca="false">IF(Raw_Data!K6="","",IF(ISTEXT(Raw_Data!K6),IFERROR(DATE(VALUE(RIGHT(TRIM(Raw_Data!K6),4)),VALUE(MID(TRIM(Raw_Data!K6),4,2)),VALUE(LEFT(TRIM(Raw_Data!K6),2))),"CHECK"),Raw_Data!K6))</f>
        <v>46140</v>
      </c>
      <c r="L6" s="33" t="str">
        <f aca="false">IF(Raw_Data!L6="","",Raw_Data!L6)</f>
        <v>Requesting information about the criteria for shelter repair kits.</v>
      </c>
      <c r="M6" s="34" t="n">
        <f aca="false">IF(OR(B6="",K6=""),"",IFERROR(K6-B6,"CHECK"))</f>
        <v>3</v>
      </c>
      <c r="N6" s="34" t="n">
        <f aca="false">IFERROR(INDEX(Reference_Lists!$H$13:$H$14,MATCH(G6,Reference_Lists!$G$13:$G$14,0)),"UNMATCHED")</f>
        <v>15</v>
      </c>
      <c r="O6" s="35" t="b">
        <f aca="false">IF(AND(J6="Closed",ISNUMBER(M6),ISNUMBER(N6),M6&gt;=0),M6&lt;=N6,"NOT ASSESSED")</f>
        <v>1</v>
      </c>
      <c r="P6" s="36" t="str">
        <f aca="false">Raw_Data!A6</f>
        <v>CFM-2026-0041</v>
      </c>
      <c r="Q6" s="37" t="str">
        <f aca="false">IFERROR(IF(OR($A6="",$P6=""),"MISSING ID",IF(EXACT($A6,$P6),"ALIGNED","MISMATCH")),"CHECK")</f>
        <v>ALIGNED</v>
      </c>
    </row>
    <row r="7" customFormat="false" ht="19.5" hidden="false" customHeight="true" outlineLevel="0" collapsed="false">
      <c r="A7" s="29" t="s">
        <v>46</v>
      </c>
      <c r="B7" s="30" t="n">
        <f aca="false">IF(Raw_Data!B7="","",IF(ISTEXT(Raw_Data!B7),IFERROR(DATE(VALUE(RIGHT(TRIM(Raw_Data!B7),4)),VALUE(MID(TRIM(Raw_Data!B7),4,2)),VALUE(LEFT(TRIM(Raw_Data!B7),2))),"CHECK"),Raw_Data!B7))</f>
        <v>46223</v>
      </c>
      <c r="C7" s="31" t="str">
        <f aca="false">IFERROR(INDEX(Reference_Lists!$C$23:$C$35,MATCH(PROPER(TRIM(Raw_Data!C7)),Reference_Lists!$B$23:$B$35,0)),"UNMATCHED")</f>
        <v>In-Person at Distribution</v>
      </c>
      <c r="D7" s="31" t="str">
        <f aca="false">IFERROR(INDEX(Reference_Lists!$C$36:$C$50,MATCH(PROPER(TRIM(Raw_Data!D7)),Reference_Lists!$B$36:$B$50,0)),"UNMATCHED")</f>
        <v>Nuseirat</v>
      </c>
      <c r="E7" s="31" t="str">
        <f aca="false">IF(Raw_Data!E7="","",Raw_Data!E7)</f>
        <v>Shelter</v>
      </c>
      <c r="F7" s="31" t="str">
        <f aca="false">IF(Raw_Data!F7="","",Raw_Data!F7)</f>
        <v>Appreciation</v>
      </c>
      <c r="G7" s="32" t="str">
        <f aca="false">IF(Raw_Data!G7="","",Raw_Data!G7)</f>
        <v>Non-Sensitive</v>
      </c>
      <c r="H7" s="32" t="str">
        <f aca="false">IFERROR(INDEX(Reference_Lists!$C$51:$C$57,MATCH(PROPER(TRIM(Raw_Data!H7)),Reference_Lists!$B$51:$B$57,0)),"UNMATCHED")</f>
        <v>Male</v>
      </c>
      <c r="I7" s="32" t="str">
        <f aca="false">IF(Raw_Data!I7="","",Raw_Data!I7)</f>
        <v>30-44</v>
      </c>
      <c r="J7" s="32" t="str">
        <f aca="false">IFERROR(INDEX(Reference_Lists!$C$58:$C$65,MATCH(PROPER(TRIM(Raw_Data!J7)),Reference_Lists!$B$58:$B$65,0)),"UNMATCHED")</f>
        <v>Closed</v>
      </c>
      <c r="K7" s="30" t="n">
        <f aca="false">IF(Raw_Data!K7="","",IF(ISTEXT(Raw_Data!K7),IFERROR(DATE(VALUE(RIGHT(TRIM(Raw_Data!K7),4)),VALUE(MID(TRIM(Raw_Data!K7),4,2)),VALUE(LEFT(TRIM(Raw_Data!K7),2))),"CHECK"),Raw_Data!K7))</f>
        <v>46248</v>
      </c>
      <c r="L7" s="33" t="str">
        <f aca="false">IF(Raw_Data!L7="","",Raw_Data!L7)</f>
        <v>Requesting information about the criteria for shelter repair kits.</v>
      </c>
      <c r="M7" s="34" t="n">
        <f aca="false">IF(OR(B7="",K7=""),"",IFERROR(K7-B7,"CHECK"))</f>
        <v>25</v>
      </c>
      <c r="N7" s="34" t="n">
        <f aca="false">IFERROR(INDEX(Reference_Lists!$H$13:$H$14,MATCH(G7,Reference_Lists!$G$13:$G$14,0)),"UNMATCHED")</f>
        <v>15</v>
      </c>
      <c r="O7" s="35" t="b">
        <f aca="false">IF(AND(J7="Closed",ISNUMBER(M7),ISNUMBER(N7),M7&gt;=0),M7&lt;=N7,"NOT ASSESSED")</f>
        <v>0</v>
      </c>
      <c r="P7" s="36" t="str">
        <f aca="false">Raw_Data!A7</f>
        <v>CFM-2026-0198</v>
      </c>
      <c r="Q7" s="37" t="str">
        <f aca="false">IFERROR(IF(OR($A7="",$P7=""),"MISSING ID",IF(EXACT($A7,$P7),"ALIGNED","MISMATCH")),"CHECK")</f>
        <v>ALIGNED</v>
      </c>
    </row>
    <row r="8" customFormat="false" ht="19.5" hidden="false" customHeight="true" outlineLevel="0" collapsed="false">
      <c r="A8" s="29" t="s">
        <v>50</v>
      </c>
      <c r="B8" s="30" t="n">
        <f aca="false">IF(Raw_Data!B8="","",IF(ISTEXT(Raw_Data!B8),IFERROR(DATE(VALUE(RIGHT(TRIM(Raw_Data!B8),4)),VALUE(MID(TRIM(Raw_Data!B8),4,2)),VALUE(LEFT(TRIM(Raw_Data!B8),2))),"CHECK"),Raw_Data!B8))</f>
        <v>46082</v>
      </c>
      <c r="C8" s="31" t="str">
        <f aca="false">IFERROR(INDEX(Reference_Lists!$C$23:$C$35,MATCH(PROPER(TRIM(Raw_Data!C8)),Reference_Lists!$B$23:$B$35,0)),"UNMATCHED")</f>
        <v>Phone Hotline</v>
      </c>
      <c r="D8" s="31" t="str">
        <f aca="false">IFERROR(INDEX(Reference_Lists!$C$36:$C$50,MATCH(PROPER(TRIM(Raw_Data!D8)),Reference_Lists!$B$36:$B$50,0)),"UNMATCHED")</f>
        <v>Deir al-Balah</v>
      </c>
      <c r="E8" s="31" t="str">
        <f aca="false">IF(Raw_Data!E8="","",Raw_Data!E8)</f>
        <v>WASH</v>
      </c>
      <c r="F8" s="31" t="str">
        <f aca="false">IF(Raw_Data!F8="","",Raw_Data!F8)</f>
        <v>Complaint</v>
      </c>
      <c r="G8" s="32" t="str">
        <f aca="false">IF(Raw_Data!G8="","",Raw_Data!G8)</f>
        <v>Non-Sensitive</v>
      </c>
      <c r="H8" s="32" t="str">
        <f aca="false">IFERROR(INDEX(Reference_Lists!$C$51:$C$57,MATCH(PROPER(TRIM(Raw_Data!H8)),Reference_Lists!$B$51:$B$57,0)),"UNMATCHED")</f>
        <v>Female</v>
      </c>
      <c r="I8" s="32" t="str">
        <f aca="false">IF(Raw_Data!I8="","",Raw_Data!I8)</f>
        <v>18-29</v>
      </c>
      <c r="J8" s="32" t="str">
        <f aca="false">IFERROR(INDEX(Reference_Lists!$C$58:$C$65,MATCH(PROPER(TRIM(Raw_Data!J8)),Reference_Lists!$B$58:$B$65,0)),"UNMATCHED")</f>
        <v>Closed</v>
      </c>
      <c r="K8" s="30" t="n">
        <f aca="false">IF(Raw_Data!K8="","",IF(ISTEXT(Raw_Data!K8),IFERROR(DATE(VALUE(RIGHT(TRIM(Raw_Data!K8),4)),VALUE(MID(TRIM(Raw_Data!K8),4,2)),VALUE(LEFT(TRIM(Raw_Data!K8),2))),"CHECK"),Raw_Data!K8))</f>
        <v>46087</v>
      </c>
      <c r="L8" s="33" t="str">
        <f aca="false">IF(Raw_Data!L8="","",Raw_Data!L8)</f>
        <v>Requesting additional jerrycans for a shared shelter of four families.</v>
      </c>
      <c r="M8" s="34" t="n">
        <f aca="false">IF(OR(B8="",K8=""),"",IFERROR(K8-B8,"CHECK"))</f>
        <v>5</v>
      </c>
      <c r="N8" s="34" t="n">
        <f aca="false">IFERROR(INDEX(Reference_Lists!$H$13:$H$14,MATCH(G8,Reference_Lists!$G$13:$G$14,0)),"UNMATCHED")</f>
        <v>15</v>
      </c>
      <c r="O8" s="35" t="b">
        <f aca="false">IF(AND(J8="Closed",ISNUMBER(M8),ISNUMBER(N8),M8&gt;=0),M8&lt;=N8,"NOT ASSESSED")</f>
        <v>1</v>
      </c>
      <c r="P8" s="36" t="str">
        <f aca="false">Raw_Data!A8</f>
        <v>CFM-2026-0459</v>
      </c>
      <c r="Q8" s="37" t="str">
        <f aca="false">IFERROR(IF(OR($A8="",$P8=""),"MISSING ID",IF(EXACT($A8,$P8),"ALIGNED","MISMATCH")),"CHECK")</f>
        <v>ALIGNED</v>
      </c>
    </row>
    <row r="9" customFormat="false" ht="19.5" hidden="false" customHeight="true" outlineLevel="0" collapsed="false">
      <c r="A9" s="29" t="s">
        <v>55</v>
      </c>
      <c r="B9" s="30" t="n">
        <f aca="false">IF(Raw_Data!B9="","",IF(ISTEXT(Raw_Data!B9),IFERROR(DATE(VALUE(RIGHT(TRIM(Raw_Data!B9),4)),VALUE(MID(TRIM(Raw_Data!B9),4,2)),VALUE(LEFT(TRIM(Raw_Data!B9),2))),"CHECK"),Raw_Data!B9))</f>
        <v>46196</v>
      </c>
      <c r="C9" s="31" t="str">
        <f aca="false">IFERROR(INDEX(Reference_Lists!$C$23:$C$35,MATCH(PROPER(TRIM(Raw_Data!C9)),Reference_Lists!$B$23:$B$35,0)),"UNMATCHED")</f>
        <v>Community Focal Point</v>
      </c>
      <c r="D9" s="31" t="str">
        <f aca="false">IFERROR(INDEX(Reference_Lists!$C$36:$C$50,MATCH(PROPER(TRIM(Raw_Data!D9)),Reference_Lists!$B$36:$B$50,0)),"UNMATCHED")</f>
        <v>Gaza City</v>
      </c>
      <c r="E9" s="31" t="str">
        <f aca="false">IF(Raw_Data!E9="","",Raw_Data!E9)</f>
        <v>Health</v>
      </c>
      <c r="F9" s="31" t="str">
        <f aca="false">IF(Raw_Data!F9="","",Raw_Data!F9)</f>
        <v>Complaint</v>
      </c>
      <c r="G9" s="32" t="str">
        <f aca="false">IF(Raw_Data!G9="","",Raw_Data!G9)</f>
        <v>Non-Sensitive</v>
      </c>
      <c r="H9" s="32" t="str">
        <f aca="false">IFERROR(INDEX(Reference_Lists!$C$51:$C$57,MATCH(PROPER(TRIM(Raw_Data!H9)),Reference_Lists!$B$51:$B$57,0)),"UNMATCHED")</f>
        <v>Female</v>
      </c>
      <c r="I9" s="32" t="str">
        <f aca="false">IF(Raw_Data!I9="","",Raw_Data!I9)</f>
        <v>45-59</v>
      </c>
      <c r="J9" s="32" t="str">
        <f aca="false">IFERROR(INDEX(Reference_Lists!$C$58:$C$65,MATCH(PROPER(TRIM(Raw_Data!J9)),Reference_Lists!$B$58:$B$65,0)),"UNMATCHED")</f>
        <v>Open</v>
      </c>
      <c r="K9" s="30" t="str">
        <f aca="false">IF(Raw_Data!K9="","",IF(ISTEXT(Raw_Data!K9),IFERROR(DATE(VALUE(RIGHT(TRIM(Raw_Data!K9),4)),VALUE(MID(TRIM(Raw_Data!K9),4,2)),VALUE(LEFT(TRIM(Raw_Data!K9),2))),"CHECK"),Raw_Data!K9))</f>
        <v/>
      </c>
      <c r="L9" s="33" t="str">
        <f aca="false">IF(Raw_Data!L9="","",Raw_Data!L9)</f>
        <v>Requesting a referral pathway for a family member with limited mobility.</v>
      </c>
      <c r="M9" s="34" t="str">
        <f aca="false">IF(OR(B9="",K9=""),"",IFERROR(K9-B9,"CHECK"))</f>
        <v/>
      </c>
      <c r="N9" s="34" t="n">
        <f aca="false">IFERROR(INDEX(Reference_Lists!$H$13:$H$14,MATCH(G9,Reference_Lists!$G$13:$G$14,0)),"UNMATCHED")</f>
        <v>15</v>
      </c>
      <c r="O9" s="32" t="str">
        <f aca="false">IF(AND(J9="Closed",ISNUMBER(M9),ISNUMBER(N9),M9&gt;=0),M9&lt;=N9,"NOT ASSESSED")</f>
        <v>NOT ASSESSED</v>
      </c>
      <c r="P9" s="36" t="str">
        <f aca="false">Raw_Data!A9</f>
        <v>CFM-2026-0488</v>
      </c>
      <c r="Q9" s="37" t="str">
        <f aca="false">IFERROR(IF(OR($A9="",$P9=""),"MISSING ID",IF(EXACT($A9,$P9),"ALIGNED","MISMATCH")),"CHECK")</f>
        <v>ALIGNED</v>
      </c>
    </row>
    <row r="10" customFormat="false" ht="19.5" hidden="false" customHeight="true" outlineLevel="0" collapsed="false">
      <c r="A10" s="29" t="s">
        <v>60</v>
      </c>
      <c r="B10" s="30" t="n">
        <f aca="false">IF(Raw_Data!B10="","",IF(ISTEXT(Raw_Data!B10),IFERROR(DATE(VALUE(RIGHT(TRIM(Raw_Data!B10),4)),VALUE(MID(TRIM(Raw_Data!B10),4,2)),VALUE(LEFT(TRIM(Raw_Data!B10),2))),"CHECK"),Raw_Data!B10))</f>
        <v>46215</v>
      </c>
      <c r="C10" s="31" t="str">
        <f aca="false">IFERROR(INDEX(Reference_Lists!$C$23:$C$35,MATCH(PROPER(TRIM(Raw_Data!C10)),Reference_Lists!$B$23:$B$35,0)),"UNMATCHED")</f>
        <v>Help Desk</v>
      </c>
      <c r="D10" s="31" t="str">
        <f aca="false">IFERROR(INDEX(Reference_Lists!$C$36:$C$50,MATCH(PROPER(TRIM(Raw_Data!D10)),Reference_Lists!$B$36:$B$50,0)),"UNMATCHED")</f>
        <v>Gaza City</v>
      </c>
      <c r="E10" s="31" t="str">
        <f aca="false">IF(Raw_Data!E10="","",Raw_Data!E10)</f>
        <v>Food Security</v>
      </c>
      <c r="F10" s="31" t="str">
        <f aca="false">IF(Raw_Data!F10="","",Raw_Data!F10)</f>
        <v>Complaint</v>
      </c>
      <c r="G10" s="32" t="str">
        <f aca="false">IF(Raw_Data!G10="","",Raw_Data!G10)</f>
        <v>Non-Sensitive</v>
      </c>
      <c r="H10" s="32" t="str">
        <f aca="false">IFERROR(INDEX(Reference_Lists!$C$51:$C$57,MATCH(PROPER(TRIM(Raw_Data!H10)),Reference_Lists!$B$51:$B$57,0)),"UNMATCHED")</f>
        <v>Male</v>
      </c>
      <c r="I10" s="32" t="str">
        <f aca="false">IF(Raw_Data!I10="","",Raw_Data!I10)</f>
        <v>45-59</v>
      </c>
      <c r="J10" s="32" t="str">
        <f aca="false">IFERROR(INDEX(Reference_Lists!$C$58:$C$65,MATCH(PROPER(TRIM(Raw_Data!J10)),Reference_Lists!$B$58:$B$65,0)),"UNMATCHED")</f>
        <v>Closed</v>
      </c>
      <c r="K10" s="30" t="n">
        <f aca="false">IF(Raw_Data!K10="","",IF(ISTEXT(Raw_Data!K10),IFERROR(DATE(VALUE(RIGHT(TRIM(Raw_Data!K10),4)),VALUE(MID(TRIM(Raw_Data!K10),4,2)),VALUE(LEFT(TRIM(Raw_Data!K10),2))),"CHECK"),Raw_Data!K10))</f>
        <v>46227</v>
      </c>
      <c r="L10" s="33" t="str">
        <f aca="false">IF(Raw_Data!L10="","",Raw_Data!L10)</f>
        <v>Asking how the beneficiary list for the next round is prepared.</v>
      </c>
      <c r="M10" s="34" t="n">
        <f aca="false">IF(OR(B10="",K10=""),"",IFERROR(K10-B10,"CHECK"))</f>
        <v>12</v>
      </c>
      <c r="N10" s="34" t="n">
        <f aca="false">IFERROR(INDEX(Reference_Lists!$H$13:$H$14,MATCH(G10,Reference_Lists!$G$13:$G$14,0)),"UNMATCHED")</f>
        <v>15</v>
      </c>
      <c r="O10" s="35" t="b">
        <f aca="false">IF(AND(J10="Closed",ISNUMBER(M10),ISNUMBER(N10),M10&gt;=0),M10&lt;=N10,"NOT ASSESSED")</f>
        <v>1</v>
      </c>
      <c r="P10" s="36" t="str">
        <f aca="false">Raw_Data!A10</f>
        <v>CFM-2026-0414</v>
      </c>
      <c r="Q10" s="37" t="str">
        <f aca="false">IFERROR(IF(OR($A10="",$P10=""),"MISSING ID",IF(EXACT($A10,$P10),"ALIGNED","MISMATCH")),"CHECK")</f>
        <v>ALIGNED</v>
      </c>
    </row>
    <row r="11" customFormat="false" ht="19.5" hidden="false" customHeight="true" outlineLevel="0" collapsed="false">
      <c r="A11" s="29" t="s">
        <v>64</v>
      </c>
      <c r="B11" s="30" t="n">
        <f aca="false">IF(Raw_Data!B11="","",IF(ISTEXT(Raw_Data!B11),IFERROR(DATE(VALUE(RIGHT(TRIM(Raw_Data!B11),4)),VALUE(MID(TRIM(Raw_Data!B11),4,2)),VALUE(LEFT(TRIM(Raw_Data!B11),2))),"CHECK"),Raw_Data!B11))</f>
        <v>46137</v>
      </c>
      <c r="C11" s="31" t="str">
        <f aca="false">IFERROR(INDEX(Reference_Lists!$C$23:$C$35,MATCH(PROPER(TRIM(Raw_Data!C11)),Reference_Lists!$B$23:$B$35,0)),"UNMATCHED")</f>
        <v>Suggestion Box</v>
      </c>
      <c r="D11" s="31" t="str">
        <f aca="false">IFERROR(INDEX(Reference_Lists!$C$36:$C$50,MATCH(PROPER(TRIM(Raw_Data!D11)),Reference_Lists!$B$36:$B$50,0)),"UNMATCHED")</f>
        <v>Deir al-Balah</v>
      </c>
      <c r="E11" s="31" t="str">
        <f aca="false">IF(Raw_Data!E11="","",Raw_Data!E11)</f>
        <v>Nutrition</v>
      </c>
      <c r="F11" s="31" t="str">
        <f aca="false">IF(Raw_Data!F11="","",Raw_Data!F11)</f>
        <v>Request for Information</v>
      </c>
      <c r="G11" s="32" t="str">
        <f aca="false">IF(Raw_Data!G11="","",Raw_Data!G11)</f>
        <v>Non-Sensitive</v>
      </c>
      <c r="H11" s="32" t="str">
        <f aca="false">IFERROR(INDEX(Reference_Lists!$C$51:$C$57,MATCH(PROPER(TRIM(Raw_Data!H11)),Reference_Lists!$B$51:$B$57,0)),"UNMATCHED")</f>
        <v>Female</v>
      </c>
      <c r="I11" s="32" t="str">
        <f aca="false">IF(Raw_Data!I11="","",Raw_Data!I11)</f>
        <v>30-44</v>
      </c>
      <c r="J11" s="32" t="str">
        <f aca="false">IFERROR(INDEX(Reference_Lists!$C$58:$C$65,MATCH(PROPER(TRIM(Raw_Data!J11)),Reference_Lists!$B$58:$B$65,0)),"UNMATCHED")</f>
        <v>Closed</v>
      </c>
      <c r="K11" s="30" t="n">
        <f aca="false">IF(Raw_Data!K11="","",IF(ISTEXT(Raw_Data!K11),IFERROR(DATE(VALUE(RIGHT(TRIM(Raw_Data!K11),4)),VALUE(MID(TRIM(Raw_Data!K11),4,2)),VALUE(LEFT(TRIM(Raw_Data!K11),2))),"CHECK"),Raw_Data!K11))</f>
        <v>46140</v>
      </c>
      <c r="L11" s="33" t="str">
        <f aca="false">IF(Raw_Data!L11="","",Raw_Data!L11)</f>
        <v>Requesting a screening session closer to the northern shelter.</v>
      </c>
      <c r="M11" s="34" t="n">
        <f aca="false">IF(OR(B11="",K11=""),"",IFERROR(K11-B11,"CHECK"))</f>
        <v>3</v>
      </c>
      <c r="N11" s="34" t="n">
        <f aca="false">IFERROR(INDEX(Reference_Lists!$H$13:$H$14,MATCH(G11,Reference_Lists!$G$13:$G$14,0)),"UNMATCHED")</f>
        <v>15</v>
      </c>
      <c r="O11" s="35" t="b">
        <f aca="false">IF(AND(J11="Closed",ISNUMBER(M11),ISNUMBER(N11),M11&gt;=0),M11&lt;=N11,"NOT ASSESSED")</f>
        <v>1</v>
      </c>
      <c r="P11" s="36" t="str">
        <f aca="false">Raw_Data!A11</f>
        <v>CFM-2026-0075</v>
      </c>
      <c r="Q11" s="37" t="str">
        <f aca="false">IFERROR(IF(OR($A11="",$P11=""),"MISSING ID",IF(EXACT($A11,$P11),"ALIGNED","MISMATCH")),"CHECK")</f>
        <v>ALIGNED</v>
      </c>
    </row>
    <row r="12" customFormat="false" ht="19.5" hidden="false" customHeight="true" outlineLevel="0" collapsed="false">
      <c r="A12" s="29" t="s">
        <v>68</v>
      </c>
      <c r="B12" s="30" t="n">
        <f aca="false">IF(Raw_Data!B12="","",IF(ISTEXT(Raw_Data!B12),IFERROR(DATE(VALUE(RIGHT(TRIM(Raw_Data!B12),4)),VALUE(MID(TRIM(Raw_Data!B12),4,2)),VALUE(LEFT(TRIM(Raw_Data!B12),2))),"CHECK"),Raw_Data!B12))</f>
        <v>46143</v>
      </c>
      <c r="C12" s="31" t="str">
        <f aca="false">IFERROR(INDEX(Reference_Lists!$C$23:$C$35,MATCH(PROPER(TRIM(Raw_Data!C12)),Reference_Lists!$B$23:$B$35,0)),"UNMATCHED")</f>
        <v>Community Focal Point</v>
      </c>
      <c r="D12" s="31" t="str">
        <f aca="false">IFERROR(INDEX(Reference_Lists!$C$36:$C$50,MATCH(PROPER(TRIM(Raw_Data!D12)),Reference_Lists!$B$36:$B$50,0)),"UNMATCHED")</f>
        <v>Jabalia</v>
      </c>
      <c r="E12" s="31" t="str">
        <f aca="false">IF(Raw_Data!E12="","",Raw_Data!E12)</f>
        <v>Health</v>
      </c>
      <c r="F12" s="31" t="str">
        <f aca="false">IF(Raw_Data!F12="","",Raw_Data!F12)</f>
        <v>Complaint</v>
      </c>
      <c r="G12" s="32" t="str">
        <f aca="false">IF(Raw_Data!G12="","",Raw_Data!G12)</f>
        <v>Non-Sensitive</v>
      </c>
      <c r="H12" s="32" t="str">
        <f aca="false">IFERROR(INDEX(Reference_Lists!$C$51:$C$57,MATCH(PROPER(TRIM(Raw_Data!H12)),Reference_Lists!$B$51:$B$57,0)),"UNMATCHED")</f>
        <v>Female</v>
      </c>
      <c r="I12" s="32" t="str">
        <f aca="false">IF(Raw_Data!I12="","",Raw_Data!I12)</f>
        <v>18-29</v>
      </c>
      <c r="J12" s="32" t="str">
        <f aca="false">IFERROR(INDEX(Reference_Lists!$C$58:$C$65,MATCH(PROPER(TRIM(Raw_Data!J12)),Reference_Lists!$B$58:$B$65,0)),"UNMATCHED")</f>
        <v>Closed</v>
      </c>
      <c r="K12" s="30" t="n">
        <f aca="false">IF(Raw_Data!K12="","",IF(ISTEXT(Raw_Data!K12),IFERROR(DATE(VALUE(RIGHT(TRIM(Raw_Data!K12),4)),VALUE(MID(TRIM(Raw_Data!K12),4,2)),VALUE(LEFT(TRIM(Raw_Data!K12),2))),"CHECK"),Raw_Data!K12))</f>
        <v>46160</v>
      </c>
      <c r="L12" s="33" t="str">
        <f aca="false">IF(Raw_Data!L12="","",Raw_Data!L12)</f>
        <v>Waiting time at the mobile clinic is long during afternoon hours.</v>
      </c>
      <c r="M12" s="34" t="n">
        <f aca="false">IF(OR(B12="",K12=""),"",IFERROR(K12-B12,"CHECK"))</f>
        <v>17</v>
      </c>
      <c r="N12" s="34" t="n">
        <f aca="false">IFERROR(INDEX(Reference_Lists!$H$13:$H$14,MATCH(G12,Reference_Lists!$G$13:$G$14,0)),"UNMATCHED")</f>
        <v>15</v>
      </c>
      <c r="O12" s="35" t="b">
        <f aca="false">IF(AND(J12="Closed",ISNUMBER(M12),ISNUMBER(N12),M12&gt;=0),M12&lt;=N12,"NOT ASSESSED")</f>
        <v>0</v>
      </c>
      <c r="P12" s="36" t="str">
        <f aca="false">Raw_Data!A12</f>
        <v>CFM-2026-0340</v>
      </c>
      <c r="Q12" s="37" t="str">
        <f aca="false">IFERROR(IF(OR($A12="",$P12=""),"MISSING ID",IF(EXACT($A12,$P12),"ALIGNED","MISMATCH")),"CHECK")</f>
        <v>ALIGNED</v>
      </c>
    </row>
    <row r="13" customFormat="false" ht="19.5" hidden="false" customHeight="true" outlineLevel="0" collapsed="false">
      <c r="A13" s="29" t="s">
        <v>73</v>
      </c>
      <c r="B13" s="30" t="n">
        <f aca="false">IF(Raw_Data!B13="","",IF(ISTEXT(Raw_Data!B13),IFERROR(DATE(VALUE(RIGHT(TRIM(Raw_Data!B13),4)),VALUE(MID(TRIM(Raw_Data!B13),4,2)),VALUE(LEFT(TRIM(Raw_Data!B13),2))),"CHECK"),Raw_Data!B13))</f>
        <v>46200</v>
      </c>
      <c r="C13" s="31" t="str">
        <f aca="false">IFERROR(INDEX(Reference_Lists!$C$23:$C$35,MATCH(PROPER(TRIM(Raw_Data!C13)),Reference_Lists!$B$23:$B$35,0)),"UNMATCHED")</f>
        <v>Suggestion Box</v>
      </c>
      <c r="D13" s="31" t="str">
        <f aca="false">IFERROR(INDEX(Reference_Lists!$C$36:$C$50,MATCH(PROPER(TRIM(Raw_Data!D13)),Reference_Lists!$B$36:$B$50,0)),"UNMATCHED")</f>
        <v>Nuseirat</v>
      </c>
      <c r="E13" s="31" t="str">
        <f aca="false">IF(Raw_Data!E13="","",Raw_Data!E13)</f>
        <v>Nutrition</v>
      </c>
      <c r="F13" s="31" t="str">
        <f aca="false">IF(Raw_Data!F13="","",Raw_Data!F13)</f>
        <v>Complaint</v>
      </c>
      <c r="G13" s="32" t="str">
        <f aca="false">IF(Raw_Data!G13="","",Raw_Data!G13)</f>
        <v>Non-Sensitive</v>
      </c>
      <c r="H13" s="32" t="str">
        <f aca="false">IFERROR(INDEX(Reference_Lists!$C$51:$C$57,MATCH(PROPER(TRIM(Raw_Data!H13)),Reference_Lists!$B$51:$B$57,0)),"UNMATCHED")</f>
        <v>Male</v>
      </c>
      <c r="I13" s="32" t="str">
        <f aca="false">IF(Raw_Data!I13="","",Raw_Data!I13)</f>
        <v/>
      </c>
      <c r="J13" s="32" t="str">
        <f aca="false">IFERROR(INDEX(Reference_Lists!$C$58:$C$65,MATCH(PROPER(TRIM(Raw_Data!J13)),Reference_Lists!$B$58:$B$65,0)),"UNMATCHED")</f>
        <v>Closed</v>
      </c>
      <c r="K13" s="30" t="n">
        <f aca="false">IF(Raw_Data!K13="","",IF(ISTEXT(Raw_Data!K13),IFERROR(DATE(VALUE(RIGHT(TRIM(Raw_Data!K13),4)),VALUE(MID(TRIM(Raw_Data!K13),4,2)),VALUE(LEFT(TRIM(Raw_Data!K13),2))),"CHECK"),Raw_Data!K13))</f>
        <v>46224</v>
      </c>
      <c r="L13" s="33" t="str">
        <f aca="false">IF(Raw_Data!L13="","",Raw_Data!L13)</f>
        <v>Requesting a screening session closer to the northern shelter.</v>
      </c>
      <c r="M13" s="34" t="n">
        <f aca="false">IF(OR(B13="",K13=""),"",IFERROR(K13-B13,"CHECK"))</f>
        <v>24</v>
      </c>
      <c r="N13" s="34" t="n">
        <f aca="false">IFERROR(INDEX(Reference_Lists!$H$13:$H$14,MATCH(G13,Reference_Lists!$G$13:$G$14,0)),"UNMATCHED")</f>
        <v>15</v>
      </c>
      <c r="O13" s="35" t="b">
        <f aca="false">IF(AND(J13="Closed",ISNUMBER(M13),ISNUMBER(N13),M13&gt;=0),M13&lt;=N13,"NOT ASSESSED")</f>
        <v>0</v>
      </c>
      <c r="P13" s="36" t="str">
        <f aca="false">Raw_Data!A13</f>
        <v>CFM-2026-0407</v>
      </c>
      <c r="Q13" s="37" t="str">
        <f aca="false">IFERROR(IF(OR($A13="",$P13=""),"MISSING ID",IF(EXACT($A13,$P13),"ALIGNED","MISMATCH")),"CHECK")</f>
        <v>ALIGNED</v>
      </c>
    </row>
    <row r="14" customFormat="false" ht="19.5" hidden="false" customHeight="true" outlineLevel="0" collapsed="false">
      <c r="A14" s="29" t="s">
        <v>75</v>
      </c>
      <c r="B14" s="30" t="n">
        <f aca="false">IF(Raw_Data!B14="","",IF(ISTEXT(Raw_Data!B14),IFERROR(DATE(VALUE(RIGHT(TRIM(Raw_Data!B14),4)),VALUE(MID(TRIM(Raw_Data!B14),4,2)),VALUE(LEFT(TRIM(Raw_Data!B14),2))),"CHECK"),Raw_Data!B14))</f>
        <v>46047</v>
      </c>
      <c r="C14" s="31" t="str">
        <f aca="false">IFERROR(INDEX(Reference_Lists!$C$23:$C$35,MATCH(PROPER(TRIM(Raw_Data!C14)),Reference_Lists!$B$23:$B$35,0)),"UNMATCHED")</f>
        <v>Help Desk</v>
      </c>
      <c r="D14" s="31" t="str">
        <f aca="false">IFERROR(INDEX(Reference_Lists!$C$36:$C$50,MATCH(PROPER(TRIM(Raw_Data!D14)),Reference_Lists!$B$36:$B$50,0)),"UNMATCHED")</f>
        <v>Deir al-Balah</v>
      </c>
      <c r="E14" s="31" t="str">
        <f aca="false">IF(Raw_Data!E14="","",Raw_Data!E14)</f>
        <v>Food Security</v>
      </c>
      <c r="F14" s="31" t="str">
        <f aca="false">IF(Raw_Data!F14="","",Raw_Data!F14)</f>
        <v>Complaint</v>
      </c>
      <c r="G14" s="32" t="str">
        <f aca="false">IF(Raw_Data!G14="","",Raw_Data!G14)</f>
        <v>Non-Sensitive</v>
      </c>
      <c r="H14" s="32" t="str">
        <f aca="false">IFERROR(INDEX(Reference_Lists!$C$51:$C$57,MATCH(PROPER(TRIM(Raw_Data!H14)),Reference_Lists!$B$51:$B$57,0)),"UNMATCHED")</f>
        <v>Female</v>
      </c>
      <c r="I14" s="32" t="str">
        <f aca="false">IF(Raw_Data!I14="","",Raw_Data!I14)</f>
        <v>60+</v>
      </c>
      <c r="J14" s="32" t="str">
        <f aca="false">IFERROR(INDEX(Reference_Lists!$C$58:$C$65,MATCH(PROPER(TRIM(Raw_Data!J14)),Reference_Lists!$B$58:$B$65,0)),"UNMATCHED")</f>
        <v>Open</v>
      </c>
      <c r="K14" s="30" t="str">
        <f aca="false">IF(Raw_Data!K14="","",IF(ISTEXT(Raw_Data!K14),IFERROR(DATE(VALUE(RIGHT(TRIM(Raw_Data!K14),4)),VALUE(MID(TRIM(Raw_Data!K14),4,2)),VALUE(LEFT(TRIM(Raw_Data!K14),2))),"CHECK"),Raw_Data!K14))</f>
        <v/>
      </c>
      <c r="L14" s="33" t="str">
        <f aca="false">IF(Raw_Data!L14="","",Raw_Data!L14)</f>
        <v>Food parcel contents did not match the announced list.</v>
      </c>
      <c r="M14" s="34" t="str">
        <f aca="false">IF(OR(B14="",K14=""),"",IFERROR(K14-B14,"CHECK"))</f>
        <v/>
      </c>
      <c r="N14" s="34" t="n">
        <f aca="false">IFERROR(INDEX(Reference_Lists!$H$13:$H$14,MATCH(G14,Reference_Lists!$G$13:$G$14,0)),"UNMATCHED")</f>
        <v>15</v>
      </c>
      <c r="O14" s="32" t="str">
        <f aca="false">IF(AND(J14="Closed",ISNUMBER(M14),ISNUMBER(N14),M14&gt;=0),M14&lt;=N14,"NOT ASSESSED")</f>
        <v>NOT ASSESSED</v>
      </c>
      <c r="P14" s="36" t="str">
        <f aca="false">Raw_Data!A14</f>
        <v>CFM-2026-0403</v>
      </c>
      <c r="Q14" s="37" t="str">
        <f aca="false">IFERROR(IF(OR($A14="",$P14=""),"MISSING ID",IF(EXACT($A14,$P14),"ALIGNED","MISMATCH")),"CHECK")</f>
        <v>ALIGNED</v>
      </c>
    </row>
    <row r="15" customFormat="false" ht="19.5" hidden="false" customHeight="true" outlineLevel="0" collapsed="false">
      <c r="A15" s="29" t="s">
        <v>76</v>
      </c>
      <c r="B15" s="30" t="n">
        <f aca="false">IF(Raw_Data!B15="","",IF(ISTEXT(Raw_Data!B15),IFERROR(DATE(VALUE(RIGHT(TRIM(Raw_Data!B15),4)),VALUE(MID(TRIM(Raw_Data!B15),4,2)),VALUE(LEFT(TRIM(Raw_Data!B15),2))),"CHECK"),Raw_Data!B15))</f>
        <v>46172</v>
      </c>
      <c r="C15" s="31" t="str">
        <f aca="false">IFERROR(INDEX(Reference_Lists!$C$23:$C$35,MATCH(PROPER(TRIM(Raw_Data!C15)),Reference_Lists!$B$23:$B$35,0)),"UNMATCHED")</f>
        <v>Suggestion Box</v>
      </c>
      <c r="D15" s="31" t="str">
        <f aca="false">IFERROR(INDEX(Reference_Lists!$C$36:$C$50,MATCH(PROPER(TRIM(Raw_Data!D15)),Reference_Lists!$B$36:$B$50,0)),"UNMATCHED")</f>
        <v>Nuseirat</v>
      </c>
      <c r="E15" s="31" t="str">
        <f aca="false">IF(Raw_Data!E15="","",Raw_Data!E15)</f>
        <v>Food Security</v>
      </c>
      <c r="F15" s="31" t="str">
        <f aca="false">IF(Raw_Data!F15="","",Raw_Data!F15)</f>
        <v>Complaint</v>
      </c>
      <c r="G15" s="32" t="str">
        <f aca="false">IF(Raw_Data!G15="","",Raw_Data!G15)</f>
        <v>Non-Sensitive</v>
      </c>
      <c r="H15" s="32" t="str">
        <f aca="false">IFERROR(INDEX(Reference_Lists!$C$51:$C$57,MATCH(PROPER(TRIM(Raw_Data!H15)),Reference_Lists!$B$51:$B$57,0)),"UNMATCHED")</f>
        <v>Male</v>
      </c>
      <c r="I15" s="32" t="str">
        <f aca="false">IF(Raw_Data!I15="","",Raw_Data!I15)</f>
        <v>45-59</v>
      </c>
      <c r="J15" s="32" t="str">
        <f aca="false">IFERROR(INDEX(Reference_Lists!$C$58:$C$65,MATCH(PROPER(TRIM(Raw_Data!J15)),Reference_Lists!$B$58:$B$65,0)),"UNMATCHED")</f>
        <v>Closed</v>
      </c>
      <c r="K15" s="30" t="n">
        <f aca="false">IF(Raw_Data!K15="","",IF(ISTEXT(Raw_Data!K15),IFERROR(DATE(VALUE(RIGHT(TRIM(Raw_Data!K15),4)),VALUE(MID(TRIM(Raw_Data!K15),4,2)),VALUE(LEFT(TRIM(Raw_Data!K15),2))),"CHECK"),Raw_Data!K15))</f>
        <v>46198</v>
      </c>
      <c r="L15" s="33" t="str">
        <f aca="false">IF(Raw_Data!L15="","",Raw_Data!L15)</f>
        <v>Thanking the team for organising the last distribution well.</v>
      </c>
      <c r="M15" s="34" t="n">
        <f aca="false">IF(OR(B15="",K15=""),"",IFERROR(K15-B15,"CHECK"))</f>
        <v>26</v>
      </c>
      <c r="N15" s="34" t="n">
        <f aca="false">IFERROR(INDEX(Reference_Lists!$H$13:$H$14,MATCH(G15,Reference_Lists!$G$13:$G$14,0)),"UNMATCHED")</f>
        <v>15</v>
      </c>
      <c r="O15" s="35" t="b">
        <f aca="false">IF(AND(J15="Closed",ISNUMBER(M15),ISNUMBER(N15),M15&gt;=0),M15&lt;=N15,"NOT ASSESSED")</f>
        <v>0</v>
      </c>
      <c r="P15" s="36" t="str">
        <f aca="false">Raw_Data!A15</f>
        <v>CFM-2026-0362</v>
      </c>
      <c r="Q15" s="37" t="str">
        <f aca="false">IFERROR(IF(OR($A15="",$P15=""),"MISSING ID",IF(EXACT($A15,$P15),"ALIGNED","MISMATCH")),"CHECK")</f>
        <v>ALIGNED</v>
      </c>
    </row>
    <row r="16" customFormat="false" ht="19.5" hidden="false" customHeight="true" outlineLevel="0" collapsed="false">
      <c r="A16" s="29" t="s">
        <v>79</v>
      </c>
      <c r="B16" s="30" t="n">
        <f aca="false">IF(Raw_Data!B16="","",IF(ISTEXT(Raw_Data!B16),IFERROR(DATE(VALUE(RIGHT(TRIM(Raw_Data!B16),4)),VALUE(MID(TRIM(Raw_Data!B16),4,2)),VALUE(LEFT(TRIM(Raw_Data!B16),2))),"CHECK"),Raw_Data!B16))</f>
        <v>46160</v>
      </c>
      <c r="C16" s="31" t="str">
        <f aca="false">IFERROR(INDEX(Reference_Lists!$C$23:$C$35,MATCH(PROPER(TRIM(Raw_Data!C16)),Reference_Lists!$B$23:$B$35,0)),"UNMATCHED")</f>
        <v>Phone Hotline</v>
      </c>
      <c r="D16" s="31" t="str">
        <f aca="false">IFERROR(INDEX(Reference_Lists!$C$36:$C$50,MATCH(PROPER(TRIM(Raw_Data!D16)),Reference_Lists!$B$36:$B$50,0)),"UNMATCHED")</f>
        <v>Jabalia</v>
      </c>
      <c r="E16" s="31" t="str">
        <f aca="false">IF(Raw_Data!E16="","",Raw_Data!E16)</f>
        <v>Nutrition</v>
      </c>
      <c r="F16" s="31" t="str">
        <f aca="false">IF(Raw_Data!F16="","",Raw_Data!F16)</f>
        <v>Sensitive Complaint</v>
      </c>
      <c r="G16" s="32" t="str">
        <f aca="false">IF(Raw_Data!G16="","",Raw_Data!G16)</f>
        <v>Sensitive</v>
      </c>
      <c r="H16" s="32" t="str">
        <f aca="false">IFERROR(INDEX(Reference_Lists!$C$51:$C$57,MATCH(PROPER(TRIM(Raw_Data!H16)),Reference_Lists!$B$51:$B$57,0)),"UNMATCHED")</f>
        <v>Male</v>
      </c>
      <c r="I16" s="32" t="str">
        <f aca="false">IF(Raw_Data!I16="","",Raw_Data!I16)</f>
        <v>Under 18</v>
      </c>
      <c r="J16" s="32" t="str">
        <f aca="false">IFERROR(INDEX(Reference_Lists!$C$58:$C$65,MATCH(PROPER(TRIM(Raw_Data!J16)),Reference_Lists!$B$58:$B$65,0)),"UNMATCHED")</f>
        <v>Open</v>
      </c>
      <c r="K16" s="30" t="str">
        <f aca="false">IF(Raw_Data!K16="","",IF(ISTEXT(Raw_Data!K16),IFERROR(DATE(VALUE(RIGHT(TRIM(Raw_Data!K16),4)),VALUE(MID(TRIM(Raw_Data!K16),4,2)),VALUE(LEFT(TRIM(Raw_Data!K16),2))),"CHECK"),Raw_Data!K16))</f>
        <v/>
      </c>
      <c r="L16" s="33" t="str">
        <f aca="false">IF(Raw_Data!L16="","",Raw_Data!L16)</f>
        <v>Sensitive case - details recorded separately by the focal point; not stored in this tracker.</v>
      </c>
      <c r="M16" s="34" t="str">
        <f aca="false">IF(OR(B16="",K16=""),"",IFERROR(K16-B16,"CHECK"))</f>
        <v/>
      </c>
      <c r="N16" s="34" t="n">
        <f aca="false">IFERROR(INDEX(Reference_Lists!$H$13:$H$14,MATCH(G16,Reference_Lists!$G$13:$G$14,0)),"UNMATCHED")</f>
        <v>3</v>
      </c>
      <c r="O16" s="32" t="str">
        <f aca="false">IF(AND(J16="Closed",ISNUMBER(M16),ISNUMBER(N16),M16&gt;=0),M16&lt;=N16,"NOT ASSESSED")</f>
        <v>NOT ASSESSED</v>
      </c>
      <c r="P16" s="36" t="str">
        <f aca="false">Raw_Data!A16</f>
        <v>CFM-2026-0168</v>
      </c>
      <c r="Q16" s="37" t="str">
        <f aca="false">IFERROR(IF(OR($A16="",$P16=""),"MISSING ID",IF(EXACT($A16,$P16),"ALIGNED","MISMATCH")),"CHECK")</f>
        <v>ALIGNED</v>
      </c>
    </row>
    <row r="17" customFormat="false" ht="19.5" hidden="false" customHeight="true" outlineLevel="0" collapsed="false">
      <c r="A17" s="29" t="s">
        <v>82</v>
      </c>
      <c r="B17" s="30" t="n">
        <f aca="false">IF(Raw_Data!B17="","",IF(ISTEXT(Raw_Data!B17),IFERROR(DATE(VALUE(RIGHT(TRIM(Raw_Data!B17),4)),VALUE(MID(TRIM(Raw_Data!B17),4,2)),VALUE(LEFT(TRIM(Raw_Data!B17),2))),"CHECK"),Raw_Data!B17))</f>
        <v>46088</v>
      </c>
      <c r="C17" s="31" t="str">
        <f aca="false">IFERROR(INDEX(Reference_Lists!$C$23:$C$35,MATCH(PROPER(TRIM(Raw_Data!C17)),Reference_Lists!$B$23:$B$35,0)),"UNMATCHED")</f>
        <v>Help Desk</v>
      </c>
      <c r="D17" s="31" t="str">
        <f aca="false">IFERROR(INDEX(Reference_Lists!$C$36:$C$50,MATCH(PROPER(TRIM(Raw_Data!D17)),Reference_Lists!$B$36:$B$50,0)),"UNMATCHED")</f>
        <v>Gaza City</v>
      </c>
      <c r="E17" s="31" t="str">
        <f aca="false">IF(Raw_Data!E17="","",Raw_Data!E17)</f>
        <v>Shelter</v>
      </c>
      <c r="F17" s="31" t="str">
        <f aca="false">IF(Raw_Data!F17="","",Raw_Data!F17)</f>
        <v>Appreciation</v>
      </c>
      <c r="G17" s="32" t="str">
        <f aca="false">IF(Raw_Data!G17="","",Raw_Data!G17)</f>
        <v>Non-Sensitive</v>
      </c>
      <c r="H17" s="32" t="str">
        <f aca="false">IFERROR(INDEX(Reference_Lists!$C$51:$C$57,MATCH(PROPER(TRIM(Raw_Data!H17)),Reference_Lists!$B$51:$B$57,0)),"UNMATCHED")</f>
        <v>Male</v>
      </c>
      <c r="I17" s="32" t="str">
        <f aca="false">IF(Raw_Data!I17="","",Raw_Data!I17)</f>
        <v>30-44</v>
      </c>
      <c r="J17" s="32" t="str">
        <f aca="false">IFERROR(INDEX(Reference_Lists!$C$58:$C$65,MATCH(PROPER(TRIM(Raw_Data!J17)),Reference_Lists!$B$58:$B$65,0)),"UNMATCHED")</f>
        <v>In Progress</v>
      </c>
      <c r="K17" s="30" t="str">
        <f aca="false">IF(Raw_Data!K17="","",IF(ISTEXT(Raw_Data!K17),IFERROR(DATE(VALUE(RIGHT(TRIM(Raw_Data!K17),4)),VALUE(MID(TRIM(Raw_Data!K17),4,2)),VALUE(LEFT(TRIM(Raw_Data!K17),2))),"CHECK"),Raw_Data!K17))</f>
        <v/>
      </c>
      <c r="L17" s="33" t="str">
        <f aca="false">IF(Raw_Data!L17="","",Raw_Data!L17)</f>
        <v>Tarpaulin received is torn and does not cover the shelter area.</v>
      </c>
      <c r="M17" s="34" t="str">
        <f aca="false">IF(OR(B17="",K17=""),"",IFERROR(K17-B17,"CHECK"))</f>
        <v/>
      </c>
      <c r="N17" s="34" t="n">
        <f aca="false">IFERROR(INDEX(Reference_Lists!$H$13:$H$14,MATCH(G17,Reference_Lists!$G$13:$G$14,0)),"UNMATCHED")</f>
        <v>15</v>
      </c>
      <c r="O17" s="32" t="str">
        <f aca="false">IF(AND(J17="Closed",ISNUMBER(M17),ISNUMBER(N17),M17&gt;=0),M17&lt;=N17,"NOT ASSESSED")</f>
        <v>NOT ASSESSED</v>
      </c>
      <c r="P17" s="36" t="str">
        <f aca="false">Raw_Data!A17</f>
        <v>CFM-2026-0116</v>
      </c>
      <c r="Q17" s="37" t="str">
        <f aca="false">IFERROR(IF(OR($A17="",$P17=""),"MISSING ID",IF(EXACT($A17,$P17),"ALIGNED","MISMATCH")),"CHECK")</f>
        <v>ALIGNED</v>
      </c>
    </row>
    <row r="18" customFormat="false" ht="19.5" hidden="false" customHeight="true" outlineLevel="0" collapsed="false">
      <c r="A18" s="29" t="s">
        <v>84</v>
      </c>
      <c r="B18" s="30" t="n">
        <f aca="false">IF(Raw_Data!B18="","",IF(ISTEXT(Raw_Data!B18),IFERROR(DATE(VALUE(RIGHT(TRIM(Raw_Data!B18),4)),VALUE(MID(TRIM(Raw_Data!B18),4,2)),VALUE(LEFT(TRIM(Raw_Data!B18),2))),"CHECK"),Raw_Data!B18))</f>
        <v>46226</v>
      </c>
      <c r="C18" s="31" t="str">
        <f aca="false">IFERROR(INDEX(Reference_Lists!$C$23:$C$35,MATCH(PROPER(TRIM(Raw_Data!C18)),Reference_Lists!$B$23:$B$35,0)),"UNMATCHED")</f>
        <v>Community Focal Point</v>
      </c>
      <c r="D18" s="31" t="str">
        <f aca="false">IFERROR(INDEX(Reference_Lists!$C$36:$C$50,MATCH(PROPER(TRIM(Raw_Data!D18)),Reference_Lists!$B$36:$B$50,0)),"UNMATCHED")</f>
        <v>Khan Yunis</v>
      </c>
      <c r="E18" s="31" t="str">
        <f aca="false">IF(Raw_Data!E18="","",Raw_Data!E18)</f>
        <v>Nutrition</v>
      </c>
      <c r="F18" s="31" t="str">
        <f aca="false">IF(Raw_Data!F18="","",Raw_Data!F18)</f>
        <v>Complaint</v>
      </c>
      <c r="G18" s="32" t="str">
        <f aca="false">IF(Raw_Data!G18="","",Raw_Data!G18)</f>
        <v>Non-Sensitive</v>
      </c>
      <c r="H18" s="32" t="str">
        <f aca="false">IFERROR(INDEX(Reference_Lists!$C$51:$C$57,MATCH(PROPER(TRIM(Raw_Data!H18)),Reference_Lists!$B$51:$B$57,0)),"UNMATCHED")</f>
        <v>Female</v>
      </c>
      <c r="I18" s="32" t="str">
        <f aca="false">IF(Raw_Data!I18="","",Raw_Data!I18)</f>
        <v>18-29</v>
      </c>
      <c r="J18" s="32" t="str">
        <f aca="false">IFERROR(INDEX(Reference_Lists!$C$58:$C$65,MATCH(PROPER(TRIM(Raw_Data!J18)),Reference_Lists!$B$58:$B$65,0)),"UNMATCHED")</f>
        <v>Closed</v>
      </c>
      <c r="K18" s="30" t="n">
        <f aca="false">IF(Raw_Data!K18="","",IF(ISTEXT(Raw_Data!K18),IFERROR(DATE(VALUE(RIGHT(TRIM(Raw_Data!K18),4)),VALUE(MID(TRIM(Raw_Data!K18),4,2)),VALUE(LEFT(TRIM(Raw_Data!K18),2))),"CHECK"),Raw_Data!K18))</f>
        <v>46243</v>
      </c>
      <c r="L18" s="33" t="str">
        <f aca="false">IF(Raw_Data!L18="","",Raw_Data!L18)</f>
        <v>Asking whether children above five are included in the screening.</v>
      </c>
      <c r="M18" s="34" t="n">
        <f aca="false">IF(OR(B18="",K18=""),"",IFERROR(K18-B18,"CHECK"))</f>
        <v>17</v>
      </c>
      <c r="N18" s="34" t="n">
        <f aca="false">IFERROR(INDEX(Reference_Lists!$H$13:$H$14,MATCH(G18,Reference_Lists!$G$13:$G$14,0)),"UNMATCHED")</f>
        <v>15</v>
      </c>
      <c r="O18" s="35" t="b">
        <f aca="false">IF(AND(J18="Closed",ISNUMBER(M18),ISNUMBER(N18),M18&gt;=0),M18&lt;=N18,"NOT ASSESSED")</f>
        <v>0</v>
      </c>
      <c r="P18" s="36" t="str">
        <f aca="false">Raw_Data!A18</f>
        <v>CFM-2026-0018</v>
      </c>
      <c r="Q18" s="37" t="str">
        <f aca="false">IFERROR(IF(OR($A18="",$P18=""),"MISSING ID",IF(EXACT($A18,$P18),"ALIGNED","MISMATCH")),"CHECK")</f>
        <v>ALIGNED</v>
      </c>
    </row>
    <row r="19" customFormat="false" ht="19.5" hidden="false" customHeight="true" outlineLevel="0" collapsed="false">
      <c r="A19" s="29" t="s">
        <v>87</v>
      </c>
      <c r="B19" s="30" t="n">
        <f aca="false">IF(Raw_Data!B19="","",IF(ISTEXT(Raw_Data!B19),IFERROR(DATE(VALUE(RIGHT(TRIM(Raw_Data!B19),4)),VALUE(MID(TRIM(Raw_Data!B19),4,2)),VALUE(LEFT(TRIM(Raw_Data!B19),2))),"CHECK"),Raw_Data!B19))</f>
        <v>46116</v>
      </c>
      <c r="C19" s="31" t="str">
        <f aca="false">IFERROR(INDEX(Reference_Lists!$C$23:$C$35,MATCH(PROPER(TRIM(Raw_Data!C19)),Reference_Lists!$B$23:$B$35,0)),"UNMATCHED")</f>
        <v>Community Focal Point</v>
      </c>
      <c r="D19" s="31" t="str">
        <f aca="false">IFERROR(INDEX(Reference_Lists!$C$36:$C$50,MATCH(PROPER(TRIM(Raw_Data!D19)),Reference_Lists!$B$36:$B$50,0)),"UNMATCHED")</f>
        <v>Gaza City</v>
      </c>
      <c r="E19" s="31" t="str">
        <f aca="false">IF(Raw_Data!E19="","",Raw_Data!E19)</f>
        <v>WASH</v>
      </c>
      <c r="F19" s="31" t="str">
        <f aca="false">IF(Raw_Data!F19="","",Raw_Data!F19)</f>
        <v>Request for Information</v>
      </c>
      <c r="G19" s="32" t="str">
        <f aca="false">IF(Raw_Data!G19="","",Raw_Data!G19)</f>
        <v>Non-Sensitive</v>
      </c>
      <c r="H19" s="32" t="str">
        <f aca="false">IFERROR(INDEX(Reference_Lists!$C$51:$C$57,MATCH(PROPER(TRIM(Raw_Data!H19)),Reference_Lists!$B$51:$B$57,0)),"UNMATCHED")</f>
        <v>Male</v>
      </c>
      <c r="I19" s="32" t="str">
        <f aca="false">IF(Raw_Data!I19="","",Raw_Data!I19)</f>
        <v>18-29</v>
      </c>
      <c r="J19" s="32" t="str">
        <f aca="false">IFERROR(INDEX(Reference_Lists!$C$58:$C$65,MATCH(PROPER(TRIM(Raw_Data!J19)),Reference_Lists!$B$58:$B$65,0)),"UNMATCHED")</f>
        <v>Closed</v>
      </c>
      <c r="K19" s="30" t="n">
        <f aca="false">IF(Raw_Data!K19="","",IF(ISTEXT(Raw_Data!K19),IFERROR(DATE(VALUE(RIGHT(TRIM(Raw_Data!K19),4)),VALUE(MID(TRIM(Raw_Data!K19),4,2)),VALUE(LEFT(TRIM(Raw_Data!K19),2))),"CHECK"),Raw_Data!K19))</f>
        <v>46132</v>
      </c>
      <c r="L19" s="33" t="str">
        <f aca="false">IF(Raw_Data!L19="","",Raw_Data!L19)</f>
        <v>Latrine at the site block needs cleaning and lighting at night.</v>
      </c>
      <c r="M19" s="34" t="n">
        <f aca="false">IF(OR(B19="",K19=""),"",IFERROR(K19-B19,"CHECK"))</f>
        <v>16</v>
      </c>
      <c r="N19" s="34" t="n">
        <f aca="false">IFERROR(INDEX(Reference_Lists!$H$13:$H$14,MATCH(G19,Reference_Lists!$G$13:$G$14,0)),"UNMATCHED")</f>
        <v>15</v>
      </c>
      <c r="O19" s="35" t="b">
        <f aca="false">IF(AND(J19="Closed",ISNUMBER(M19),ISNUMBER(N19),M19&gt;=0),M19&lt;=N19,"NOT ASSESSED")</f>
        <v>0</v>
      </c>
      <c r="P19" s="36" t="str">
        <f aca="false">Raw_Data!A19</f>
        <v>CFM-2026-0456</v>
      </c>
      <c r="Q19" s="37" t="str">
        <f aca="false">IFERROR(IF(OR($A19="",$P19=""),"MISSING ID",IF(EXACT($A19,$P19),"ALIGNED","MISMATCH")),"CHECK")</f>
        <v>ALIGNED</v>
      </c>
    </row>
    <row r="20" customFormat="false" ht="19.5" hidden="false" customHeight="true" outlineLevel="0" collapsed="false">
      <c r="A20" s="29" t="s">
        <v>89</v>
      </c>
      <c r="B20" s="30" t="n">
        <f aca="false">IF(Raw_Data!B20="","",IF(ISTEXT(Raw_Data!B20),IFERROR(DATE(VALUE(RIGHT(TRIM(Raw_Data!B20),4)),VALUE(MID(TRIM(Raw_Data!B20),4,2)),VALUE(LEFT(TRIM(Raw_Data!B20),2))),"CHECK"),Raw_Data!B20))</f>
        <v>46087</v>
      </c>
      <c r="C20" s="31" t="str">
        <f aca="false">IFERROR(INDEX(Reference_Lists!$C$23:$C$35,MATCH(PROPER(TRIM(Raw_Data!C20)),Reference_Lists!$B$23:$B$35,0)),"UNMATCHED")</f>
        <v>Help Desk</v>
      </c>
      <c r="D20" s="31" t="str">
        <f aca="false">IFERROR(INDEX(Reference_Lists!$C$36:$C$50,MATCH(PROPER(TRIM(Raw_Data!D20)),Reference_Lists!$B$36:$B$50,0)),"UNMATCHED")</f>
        <v>Gaza City</v>
      </c>
      <c r="E20" s="31" t="str">
        <f aca="false">IF(Raw_Data!E20="","",Raw_Data!E20)</f>
        <v>Food Security</v>
      </c>
      <c r="F20" s="31" t="str">
        <f aca="false">IF(Raw_Data!F20="","",Raw_Data!F20)</f>
        <v>Complaint</v>
      </c>
      <c r="G20" s="32" t="str">
        <f aca="false">IF(Raw_Data!G20="","",Raw_Data!G20)</f>
        <v>Non-Sensitive</v>
      </c>
      <c r="H20" s="32" t="str">
        <f aca="false">IFERROR(INDEX(Reference_Lists!$C$51:$C$57,MATCH(PROPER(TRIM(Raw_Data!H20)),Reference_Lists!$B$51:$B$57,0)),"UNMATCHED")</f>
        <v>Male</v>
      </c>
      <c r="I20" s="32" t="str">
        <f aca="false">IF(Raw_Data!I20="","",Raw_Data!I20)</f>
        <v>30-44</v>
      </c>
      <c r="J20" s="32" t="str">
        <f aca="false">IFERROR(INDEX(Reference_Lists!$C$58:$C$65,MATCH(PROPER(TRIM(Raw_Data!J20)),Reference_Lists!$B$58:$B$65,0)),"UNMATCHED")</f>
        <v>In Progress</v>
      </c>
      <c r="K20" s="30" t="str">
        <f aca="false">IF(Raw_Data!K20="","",IF(ISTEXT(Raw_Data!K20),IFERROR(DATE(VALUE(RIGHT(TRIM(Raw_Data!K20),4)),VALUE(MID(TRIM(Raw_Data!K20),4,2)),VALUE(LEFT(TRIM(Raw_Data!K20),2))),"CHECK"),Raw_Data!K20))</f>
        <v/>
      </c>
      <c r="L20" s="33" t="str">
        <f aca="false">IF(Raw_Data!L20="","",Raw_Data!L20)</f>
        <v>Asking how the beneficiary list for the next round is prepared.</v>
      </c>
      <c r="M20" s="34" t="str">
        <f aca="false">IF(OR(B20="",K20=""),"",IFERROR(K20-B20,"CHECK"))</f>
        <v/>
      </c>
      <c r="N20" s="34" t="n">
        <f aca="false">IFERROR(INDEX(Reference_Lists!$H$13:$H$14,MATCH(G20,Reference_Lists!$G$13:$G$14,0)),"UNMATCHED")</f>
        <v>15</v>
      </c>
      <c r="O20" s="32" t="str">
        <f aca="false">IF(AND(J20="Closed",ISNUMBER(M20),ISNUMBER(N20),M20&gt;=0),M20&lt;=N20,"NOT ASSESSED")</f>
        <v>NOT ASSESSED</v>
      </c>
      <c r="P20" s="36" t="str">
        <f aca="false">Raw_Data!A20</f>
        <v>CFM-2026-0441</v>
      </c>
      <c r="Q20" s="37" t="str">
        <f aca="false">IFERROR(IF(OR($A20="",$P20=""),"MISSING ID",IF(EXACT($A20,$P20),"ALIGNED","MISMATCH")),"CHECK")</f>
        <v>ALIGNED</v>
      </c>
    </row>
    <row r="21" customFormat="false" ht="19.5" hidden="false" customHeight="true" outlineLevel="0" collapsed="false">
      <c r="A21" s="29" t="s">
        <v>90</v>
      </c>
      <c r="B21" s="30" t="n">
        <f aca="false">IF(Raw_Data!B21="","",IF(ISTEXT(Raw_Data!B21),IFERROR(DATE(VALUE(RIGHT(TRIM(Raw_Data!B21),4)),VALUE(MID(TRIM(Raw_Data!B21),4,2)),VALUE(LEFT(TRIM(Raw_Data!B21),2))),"CHECK"),Raw_Data!B21))</f>
        <v>46137</v>
      </c>
      <c r="C21" s="31" t="str">
        <f aca="false">IFERROR(INDEX(Reference_Lists!$C$23:$C$35,MATCH(PROPER(TRIM(Raw_Data!C21)),Reference_Lists!$B$23:$B$35,0)),"UNMATCHED")</f>
        <v>In-Person at Distribution</v>
      </c>
      <c r="D21" s="31" t="str">
        <f aca="false">IFERROR(INDEX(Reference_Lists!$C$36:$C$50,MATCH(PROPER(TRIM(Raw_Data!D21)),Reference_Lists!$B$36:$B$50,0)),"UNMATCHED")</f>
        <v>Khan Yunis</v>
      </c>
      <c r="E21" s="31" t="str">
        <f aca="false">IF(Raw_Data!E21="","",Raw_Data!E21)</f>
        <v>Food Security</v>
      </c>
      <c r="F21" s="31" t="str">
        <f aca="false">IF(Raw_Data!F21="","",Raw_Data!F21)</f>
        <v>Complaint</v>
      </c>
      <c r="G21" s="32" t="str">
        <f aca="false">IF(Raw_Data!G21="","",Raw_Data!G21)</f>
        <v>Non-Sensitive</v>
      </c>
      <c r="H21" s="32" t="str">
        <f aca="false">IFERROR(INDEX(Reference_Lists!$C$51:$C$57,MATCH(PROPER(TRIM(Raw_Data!H21)),Reference_Lists!$B$51:$B$57,0)),"UNMATCHED")</f>
        <v>Female</v>
      </c>
      <c r="I21" s="32" t="str">
        <f aca="false">IF(Raw_Data!I21="","",Raw_Data!I21)</f>
        <v>Under 18</v>
      </c>
      <c r="J21" s="32" t="str">
        <f aca="false">IFERROR(INDEX(Reference_Lists!$C$58:$C$65,MATCH(PROPER(TRIM(Raw_Data!J21)),Reference_Lists!$B$58:$B$65,0)),"UNMATCHED")</f>
        <v>Closed</v>
      </c>
      <c r="K21" s="30" t="n">
        <f aca="false">IF(Raw_Data!K21="","",IF(ISTEXT(Raw_Data!K21),IFERROR(DATE(VALUE(RIGHT(TRIM(Raw_Data!K21),4)),VALUE(MID(TRIM(Raw_Data!K21),4,2)),VALUE(LEFT(TRIM(Raw_Data!K21),2))),"CHECK"),Raw_Data!K21))</f>
        <v>46138</v>
      </c>
      <c r="L21" s="33" t="str">
        <f aca="false">IF(Raw_Data!L21="","",Raw_Data!L21)</f>
        <v>Food parcel contents did not match the announced list.</v>
      </c>
      <c r="M21" s="34" t="n">
        <f aca="false">IF(OR(B21="",K21=""),"",IFERROR(K21-B21,"CHECK"))</f>
        <v>1</v>
      </c>
      <c r="N21" s="34" t="n">
        <f aca="false">IFERROR(INDEX(Reference_Lists!$H$13:$H$14,MATCH(G21,Reference_Lists!$G$13:$G$14,0)),"UNMATCHED")</f>
        <v>15</v>
      </c>
      <c r="O21" s="35" t="b">
        <f aca="false">IF(AND(J21="Closed",ISNUMBER(M21),ISNUMBER(N21),M21&gt;=0),M21&lt;=N21,"NOT ASSESSED")</f>
        <v>1</v>
      </c>
      <c r="P21" s="36" t="str">
        <f aca="false">Raw_Data!A21</f>
        <v>CFM-2026-0010</v>
      </c>
      <c r="Q21" s="37" t="str">
        <f aca="false">IFERROR(IF(OR($A21="",$P21=""),"MISSING ID",IF(EXACT($A21,$P21),"ALIGNED","MISMATCH")),"CHECK")</f>
        <v>ALIGNED</v>
      </c>
    </row>
    <row r="22" customFormat="false" ht="19.5" hidden="false" customHeight="true" outlineLevel="0" collapsed="false">
      <c r="A22" s="29" t="s">
        <v>94</v>
      </c>
      <c r="B22" s="30" t="n">
        <f aca="false">IF(Raw_Data!B22="","",IF(ISTEXT(Raw_Data!B22),IFERROR(DATE(VALUE(RIGHT(TRIM(Raw_Data!B22),4)),VALUE(MID(TRIM(Raw_Data!B22),4,2)),VALUE(LEFT(TRIM(Raw_Data!B22),2))),"CHECK"),Raw_Data!B22))</f>
        <v>46093</v>
      </c>
      <c r="C22" s="31" t="str">
        <f aca="false">IFERROR(INDEX(Reference_Lists!$C$23:$C$35,MATCH(PROPER(TRIM(Raw_Data!C22)),Reference_Lists!$B$23:$B$35,0)),"UNMATCHED")</f>
        <v>Phone Hotline</v>
      </c>
      <c r="D22" s="31" t="str">
        <f aca="false">IFERROR(INDEX(Reference_Lists!$C$36:$C$50,MATCH(PROPER(TRIM(Raw_Data!D22)),Reference_Lists!$B$36:$B$50,0)),"UNMATCHED")</f>
        <v>Deir al-Balah</v>
      </c>
      <c r="E22" s="31" t="str">
        <f aca="false">IF(Raw_Data!E22="","",Raw_Data!E22)</f>
        <v>WASH</v>
      </c>
      <c r="F22" s="31" t="str">
        <f aca="false">IF(Raw_Data!F22="","",Raw_Data!F22)</f>
        <v>Appreciation</v>
      </c>
      <c r="G22" s="32" t="str">
        <f aca="false">IF(Raw_Data!G22="","",Raw_Data!G22)</f>
        <v>Non-Sensitive</v>
      </c>
      <c r="H22" s="32" t="str">
        <f aca="false">IFERROR(INDEX(Reference_Lists!$C$51:$C$57,MATCH(PROPER(TRIM(Raw_Data!H22)),Reference_Lists!$B$51:$B$57,0)),"UNMATCHED")</f>
        <v>Male</v>
      </c>
      <c r="I22" s="32" t="str">
        <f aca="false">IF(Raw_Data!I22="","",Raw_Data!I22)</f>
        <v>18-29</v>
      </c>
      <c r="J22" s="32" t="str">
        <f aca="false">IFERROR(INDEX(Reference_Lists!$C$58:$C$65,MATCH(PROPER(TRIM(Raw_Data!J22)),Reference_Lists!$B$58:$B$65,0)),"UNMATCHED")</f>
        <v>Closed</v>
      </c>
      <c r="K22" s="30" t="n">
        <f aca="false">IF(Raw_Data!K22="","",IF(ISTEXT(Raw_Data!K22),IFERROR(DATE(VALUE(RIGHT(TRIM(Raw_Data!K22),4)),VALUE(MID(TRIM(Raw_Data!K22),4,2)),VALUE(LEFT(TRIM(Raw_Data!K22),2))),"CHECK"),Raw_Data!K22))</f>
        <v>46101</v>
      </c>
      <c r="L22" s="33" t="str">
        <f aca="false">IF(Raw_Data!L22="","",Raw_Data!L22)</f>
        <v>Water truck did not arrive at the agreed time for three consecutive days.</v>
      </c>
      <c r="M22" s="34" t="n">
        <f aca="false">IF(OR(B22="",K22=""),"",IFERROR(K22-B22,"CHECK"))</f>
        <v>8</v>
      </c>
      <c r="N22" s="34" t="n">
        <f aca="false">IFERROR(INDEX(Reference_Lists!$H$13:$H$14,MATCH(G22,Reference_Lists!$G$13:$G$14,0)),"UNMATCHED")</f>
        <v>15</v>
      </c>
      <c r="O22" s="35" t="b">
        <f aca="false">IF(AND(J22="Closed",ISNUMBER(M22),ISNUMBER(N22),M22&gt;=0),M22&lt;=N22,"NOT ASSESSED")</f>
        <v>1</v>
      </c>
      <c r="P22" s="36" t="str">
        <f aca="false">Raw_Data!A22</f>
        <v>CFM-2026-0058</v>
      </c>
      <c r="Q22" s="37" t="str">
        <f aca="false">IFERROR(IF(OR($A22="",$P22=""),"MISSING ID",IF(EXACT($A22,$P22),"ALIGNED","MISMATCH")),"CHECK")</f>
        <v>ALIGNED</v>
      </c>
    </row>
    <row r="23" customFormat="false" ht="19.5" hidden="false" customHeight="true" outlineLevel="0" collapsed="false">
      <c r="A23" s="29" t="s">
        <v>96</v>
      </c>
      <c r="B23" s="30" t="n">
        <f aca="false">IF(Raw_Data!B23="","",IF(ISTEXT(Raw_Data!B23),IFERROR(DATE(VALUE(RIGHT(TRIM(Raw_Data!B23),4)),VALUE(MID(TRIM(Raw_Data!B23),4,2)),VALUE(LEFT(TRIM(Raw_Data!B23),2))),"CHECK"),Raw_Data!B23))</f>
        <v>46054</v>
      </c>
      <c r="C23" s="31" t="str">
        <f aca="false">IFERROR(INDEX(Reference_Lists!$C$23:$C$35,MATCH(PROPER(TRIM(Raw_Data!C23)),Reference_Lists!$B$23:$B$35,0)),"UNMATCHED")</f>
        <v>Suggestion Box</v>
      </c>
      <c r="D23" s="31" t="str">
        <f aca="false">IFERROR(INDEX(Reference_Lists!$C$36:$C$50,MATCH(PROPER(TRIM(Raw_Data!D23)),Reference_Lists!$B$36:$B$50,0)),"UNMATCHED")</f>
        <v>Gaza City</v>
      </c>
      <c r="E23" s="31" t="str">
        <f aca="false">IF(Raw_Data!E23="","",Raw_Data!E23)</f>
        <v>WASH</v>
      </c>
      <c r="F23" s="31" t="str">
        <f aca="false">IF(Raw_Data!F23="","",Raw_Data!F23)</f>
        <v>Complaint</v>
      </c>
      <c r="G23" s="32" t="str">
        <f aca="false">IF(Raw_Data!G23="","",Raw_Data!G23)</f>
        <v>Non-Sensitive</v>
      </c>
      <c r="H23" s="32" t="str">
        <f aca="false">IFERROR(INDEX(Reference_Lists!$C$51:$C$57,MATCH(PROPER(TRIM(Raw_Data!H23)),Reference_Lists!$B$51:$B$57,0)),"UNMATCHED")</f>
        <v>Female</v>
      </c>
      <c r="I23" s="32" t="str">
        <f aca="false">IF(Raw_Data!I23="","",Raw_Data!I23)</f>
        <v>45-59</v>
      </c>
      <c r="J23" s="32" t="str">
        <f aca="false">IFERROR(INDEX(Reference_Lists!$C$58:$C$65,MATCH(PROPER(TRIM(Raw_Data!J23)),Reference_Lists!$B$58:$B$65,0)),"UNMATCHED")</f>
        <v>Closed</v>
      </c>
      <c r="K23" s="30" t="n">
        <f aca="false">IF(Raw_Data!K23="","",IF(ISTEXT(Raw_Data!K23),IFERROR(DATE(VALUE(RIGHT(TRIM(Raw_Data!K23),4)),VALUE(MID(TRIM(Raw_Data!K23),4,2)),VALUE(LEFT(TRIM(Raw_Data!K23),2))),"CHECK"),Raw_Data!K23))</f>
        <v>46065</v>
      </c>
      <c r="L23" s="33" t="str">
        <f aca="false">IF(Raw_Data!L23="","",Raw_Data!L23)</f>
        <v>The queue at the water point is not organised and older people cannot wait.</v>
      </c>
      <c r="M23" s="34" t="n">
        <f aca="false">IF(OR(B23="",K23=""),"",IFERROR(K23-B23,"CHECK"))</f>
        <v>11</v>
      </c>
      <c r="N23" s="34" t="n">
        <f aca="false">IFERROR(INDEX(Reference_Lists!$H$13:$H$14,MATCH(G23,Reference_Lists!$G$13:$G$14,0)),"UNMATCHED")</f>
        <v>15</v>
      </c>
      <c r="O23" s="35" t="b">
        <f aca="false">IF(AND(J23="Closed",ISNUMBER(M23),ISNUMBER(N23),M23&gt;=0),M23&lt;=N23,"NOT ASSESSED")</f>
        <v>1</v>
      </c>
      <c r="P23" s="36" t="str">
        <f aca="false">Raw_Data!A23</f>
        <v>CFM-2026-0447</v>
      </c>
      <c r="Q23" s="37" t="str">
        <f aca="false">IFERROR(IF(OR($A23="",$P23=""),"MISSING ID",IF(EXACT($A23,$P23),"ALIGNED","MISMATCH")),"CHECK")</f>
        <v>ALIGNED</v>
      </c>
    </row>
    <row r="24" customFormat="false" ht="19.5" hidden="false" customHeight="true" outlineLevel="0" collapsed="false">
      <c r="A24" s="29" t="s">
        <v>98</v>
      </c>
      <c r="B24" s="30" t="n">
        <f aca="false">IF(Raw_Data!B24="","",IF(ISTEXT(Raw_Data!B24),IFERROR(DATE(VALUE(RIGHT(TRIM(Raw_Data!B24),4)),VALUE(MID(TRIM(Raw_Data!B24),4,2)),VALUE(LEFT(TRIM(Raw_Data!B24),2))),"CHECK"),Raw_Data!B24))</f>
        <v>46118</v>
      </c>
      <c r="C24" s="31" t="str">
        <f aca="false">IFERROR(INDEX(Reference_Lists!$C$23:$C$35,MATCH(PROPER(TRIM(Raw_Data!C24)),Reference_Lists!$B$23:$B$35,0)),"UNMATCHED")</f>
        <v>Suggestion Box</v>
      </c>
      <c r="D24" s="31" t="str">
        <f aca="false">IFERROR(INDEX(Reference_Lists!$C$36:$C$50,MATCH(PROPER(TRIM(Raw_Data!D24)),Reference_Lists!$B$36:$B$50,0)),"UNMATCHED")</f>
        <v>Deir al-Balah</v>
      </c>
      <c r="E24" s="31" t="str">
        <f aca="false">IF(Raw_Data!E24="","",Raw_Data!E24)</f>
        <v>Food Security</v>
      </c>
      <c r="F24" s="31" t="str">
        <f aca="false">IF(Raw_Data!F24="","",Raw_Data!F24)</f>
        <v>Complaint</v>
      </c>
      <c r="G24" s="32" t="str">
        <f aca="false">IF(Raw_Data!G24="","",Raw_Data!G24)</f>
        <v>Non-Sensitive</v>
      </c>
      <c r="H24" s="32" t="str">
        <f aca="false">IFERROR(INDEX(Reference_Lists!$C$51:$C$57,MATCH(PROPER(TRIM(Raw_Data!H24)),Reference_Lists!$B$51:$B$57,0)),"UNMATCHED")</f>
        <v>Female</v>
      </c>
      <c r="I24" s="32" t="str">
        <f aca="false">IF(Raw_Data!I24="","",Raw_Data!I24)</f>
        <v>30-44</v>
      </c>
      <c r="J24" s="32" t="str">
        <f aca="false">IFERROR(INDEX(Reference_Lists!$C$58:$C$65,MATCH(PROPER(TRIM(Raw_Data!J24)),Reference_Lists!$B$58:$B$65,0)),"UNMATCHED")</f>
        <v>Closed</v>
      </c>
      <c r="K24" s="30" t="n">
        <f aca="false">IF(Raw_Data!K24="","",IF(ISTEXT(Raw_Data!K24),IFERROR(DATE(VALUE(RIGHT(TRIM(Raw_Data!K24),4)),VALUE(MID(TRIM(Raw_Data!K24),4,2)),VALUE(LEFT(TRIM(Raw_Data!K24),2))),"CHECK"),Raw_Data!K24))</f>
        <v>46124</v>
      </c>
      <c r="L24" s="33" t="str">
        <f aca="false">IF(Raw_Data!L24="","",Raw_Data!L24)</f>
        <v>Thanking the team for organising the last distribution well.</v>
      </c>
      <c r="M24" s="34" t="n">
        <f aca="false">IF(OR(B24="",K24=""),"",IFERROR(K24-B24,"CHECK"))</f>
        <v>6</v>
      </c>
      <c r="N24" s="34" t="n">
        <f aca="false">IFERROR(INDEX(Reference_Lists!$H$13:$H$14,MATCH(G24,Reference_Lists!$G$13:$G$14,0)),"UNMATCHED")</f>
        <v>15</v>
      </c>
      <c r="O24" s="35" t="b">
        <f aca="false">IF(AND(J24="Closed",ISNUMBER(M24),ISNUMBER(N24),M24&gt;=0),M24&lt;=N24,"NOT ASSESSED")</f>
        <v>1</v>
      </c>
      <c r="P24" s="36" t="str">
        <f aca="false">Raw_Data!A24</f>
        <v>CFM-2026-0091</v>
      </c>
      <c r="Q24" s="37" t="str">
        <f aca="false">IFERROR(IF(OR($A24="",$P24=""),"MISSING ID",IF(EXACT($A24,$P24),"ALIGNED","MISMATCH")),"CHECK")</f>
        <v>ALIGNED</v>
      </c>
    </row>
    <row r="25" customFormat="false" ht="19.5" hidden="false" customHeight="true" outlineLevel="0" collapsed="false">
      <c r="A25" s="29" t="s">
        <v>99</v>
      </c>
      <c r="B25" s="30" t="n">
        <f aca="false">IF(Raw_Data!B25="","",IF(ISTEXT(Raw_Data!B25),IFERROR(DATE(VALUE(RIGHT(TRIM(Raw_Data!B25),4)),VALUE(MID(TRIM(Raw_Data!B25),4,2)),VALUE(LEFT(TRIM(Raw_Data!B25),2))),"CHECK"),Raw_Data!B25))</f>
        <v>46056</v>
      </c>
      <c r="C25" s="31" t="str">
        <f aca="false">IFERROR(INDEX(Reference_Lists!$C$23:$C$35,MATCH(PROPER(TRIM(Raw_Data!C25)),Reference_Lists!$B$23:$B$35,0)),"UNMATCHED")</f>
        <v>Phone Hotline</v>
      </c>
      <c r="D25" s="31" t="str">
        <f aca="false">IFERROR(INDEX(Reference_Lists!$C$36:$C$50,MATCH(PROPER(TRIM(Raw_Data!D25)),Reference_Lists!$B$36:$B$50,0)),"UNMATCHED")</f>
        <v>Rafah</v>
      </c>
      <c r="E25" s="31" t="str">
        <f aca="false">IF(Raw_Data!E25="","",Raw_Data!E25)</f>
        <v>Shelter</v>
      </c>
      <c r="F25" s="31" t="str">
        <f aca="false">IF(Raw_Data!F25="","",Raw_Data!F25)</f>
        <v>Appreciation</v>
      </c>
      <c r="G25" s="32" t="str">
        <f aca="false">IF(Raw_Data!G25="","",Raw_Data!G25)</f>
        <v>Non-Sensitive</v>
      </c>
      <c r="H25" s="32" t="str">
        <f aca="false">IFERROR(INDEX(Reference_Lists!$C$51:$C$57,MATCH(PROPER(TRIM(Raw_Data!H25)),Reference_Lists!$B$51:$B$57,0)),"UNMATCHED")</f>
        <v>Male</v>
      </c>
      <c r="I25" s="32" t="str">
        <f aca="false">IF(Raw_Data!I25="","",Raw_Data!I25)</f>
        <v>30-44</v>
      </c>
      <c r="J25" s="32" t="str">
        <f aca="false">IFERROR(INDEX(Reference_Lists!$C$58:$C$65,MATCH(PROPER(TRIM(Raw_Data!J25)),Reference_Lists!$B$58:$B$65,0)),"UNMATCHED")</f>
        <v>In Progress</v>
      </c>
      <c r="K25" s="30" t="str">
        <f aca="false">IF(Raw_Data!K25="","",IF(ISTEXT(Raw_Data!K25),IFERROR(DATE(VALUE(RIGHT(TRIM(Raw_Data!K25),4)),VALUE(MID(TRIM(Raw_Data!K25),4,2)),VALUE(LEFT(TRIM(Raw_Data!K25),2))),"CHECK"),Raw_Data!K25))</f>
        <v/>
      </c>
      <c r="L25" s="33" t="str">
        <f aca="false">IF(Raw_Data!L25="","",Raw_Data!L25)</f>
        <v>Tarpaulin received is torn and does not cover the shelter area.</v>
      </c>
      <c r="M25" s="34" t="str">
        <f aca="false">IF(OR(B25="",K25=""),"",IFERROR(K25-B25,"CHECK"))</f>
        <v/>
      </c>
      <c r="N25" s="34" t="n">
        <f aca="false">IFERROR(INDEX(Reference_Lists!$H$13:$H$14,MATCH(G25,Reference_Lists!$G$13:$G$14,0)),"UNMATCHED")</f>
        <v>15</v>
      </c>
      <c r="O25" s="32" t="str">
        <f aca="false">IF(AND(J25="Closed",ISNUMBER(M25),ISNUMBER(N25),M25&gt;=0),M25&lt;=N25,"NOT ASSESSED")</f>
        <v>NOT ASSESSED</v>
      </c>
      <c r="P25" s="36" t="str">
        <f aca="false">Raw_Data!A25</f>
        <v>CFM-2026-0123</v>
      </c>
      <c r="Q25" s="37" t="str">
        <f aca="false">IFERROR(IF(OR($A25="",$P25=""),"MISSING ID",IF(EXACT($A25,$P25),"ALIGNED","MISMATCH")),"CHECK")</f>
        <v>ALIGNED</v>
      </c>
    </row>
    <row r="26" customFormat="false" ht="19.5" hidden="false" customHeight="true" outlineLevel="0" collapsed="false">
      <c r="A26" s="29" t="s">
        <v>101</v>
      </c>
      <c r="B26" s="30" t="n">
        <f aca="false">IF(Raw_Data!B26="","",IF(ISTEXT(Raw_Data!B26),IFERROR(DATE(VALUE(RIGHT(TRIM(Raw_Data!B26),4)),VALUE(MID(TRIM(Raw_Data!B26),4,2)),VALUE(LEFT(TRIM(Raw_Data!B26),2))),"CHECK"),Raw_Data!B26))</f>
        <v>46195</v>
      </c>
      <c r="C26" s="31" t="str">
        <f aca="false">IFERROR(INDEX(Reference_Lists!$C$23:$C$35,MATCH(PROPER(TRIM(Raw_Data!C26)),Reference_Lists!$B$23:$B$35,0)),"UNMATCHED")</f>
        <v>In-Person at Distribution</v>
      </c>
      <c r="D26" s="31" t="str">
        <f aca="false">IFERROR(INDEX(Reference_Lists!$C$36:$C$50,MATCH(PROPER(TRIM(Raw_Data!D26)),Reference_Lists!$B$36:$B$50,0)),"UNMATCHED")</f>
        <v>Jabalia</v>
      </c>
      <c r="E26" s="31" t="str">
        <f aca="false">IF(Raw_Data!E26="","",Raw_Data!E26)</f>
        <v>WASH</v>
      </c>
      <c r="F26" s="31" t="str">
        <f aca="false">IF(Raw_Data!F26="","",Raw_Data!F26)</f>
        <v>Complaint</v>
      </c>
      <c r="G26" s="32" t="str">
        <f aca="false">IF(Raw_Data!G26="","",Raw_Data!G26)</f>
        <v>Non-Sensitive</v>
      </c>
      <c r="H26" s="32" t="str">
        <f aca="false">IFERROR(INDEX(Reference_Lists!$C$51:$C$57,MATCH(PROPER(TRIM(Raw_Data!H26)),Reference_Lists!$B$51:$B$57,0)),"UNMATCHED")</f>
        <v>Female</v>
      </c>
      <c r="I26" s="32" t="str">
        <f aca="false">IF(Raw_Data!I26="","",Raw_Data!I26)</f>
        <v>30-44</v>
      </c>
      <c r="J26" s="32" t="str">
        <f aca="false">IFERROR(INDEX(Reference_Lists!$C$58:$C$65,MATCH(PROPER(TRIM(Raw_Data!J26)),Reference_Lists!$B$58:$B$65,0)),"UNMATCHED")</f>
        <v>Closed</v>
      </c>
      <c r="K26" s="30" t="n">
        <f aca="false">IF(Raw_Data!K26="","",IF(ISTEXT(Raw_Data!K26),IFERROR(DATE(VALUE(RIGHT(TRIM(Raw_Data!K26),4)),VALUE(MID(TRIM(Raw_Data!K26),4,2)),VALUE(LEFT(TRIM(Raw_Data!K26),2))),"CHECK"),Raw_Data!K26))</f>
        <v>46199</v>
      </c>
      <c r="L26" s="33" t="str">
        <f aca="false">IF(Raw_Data!L26="","",Raw_Data!L26)</f>
        <v>Requesting additional jerrycans for a shared shelter of four families.</v>
      </c>
      <c r="M26" s="34" t="n">
        <f aca="false">IF(OR(B26="",K26=""),"",IFERROR(K26-B26,"CHECK"))</f>
        <v>4</v>
      </c>
      <c r="N26" s="34" t="n">
        <f aca="false">IFERROR(INDEX(Reference_Lists!$H$13:$H$14,MATCH(G26,Reference_Lists!$G$13:$G$14,0)),"UNMATCHED")</f>
        <v>15</v>
      </c>
      <c r="O26" s="35" t="b">
        <f aca="false">IF(AND(J26="Closed",ISNUMBER(M26),ISNUMBER(N26),M26&gt;=0),M26&lt;=N26,"NOT ASSESSED")</f>
        <v>1</v>
      </c>
      <c r="P26" s="36" t="str">
        <f aca="false">Raw_Data!A26</f>
        <v>CFM-2026-0322</v>
      </c>
      <c r="Q26" s="37" t="str">
        <f aca="false">IFERROR(IF(OR($A26="",$P26=""),"MISSING ID",IF(EXACT($A26,$P26),"ALIGNED","MISMATCH")),"CHECK")</f>
        <v>ALIGNED</v>
      </c>
    </row>
    <row r="27" customFormat="false" ht="19.5" hidden="false" customHeight="true" outlineLevel="0" collapsed="false">
      <c r="A27" s="29" t="s">
        <v>102</v>
      </c>
      <c r="B27" s="30" t="n">
        <f aca="false">IF(Raw_Data!B27="","",IF(ISTEXT(Raw_Data!B27),IFERROR(DATE(VALUE(RIGHT(TRIM(Raw_Data!B27),4)),VALUE(MID(TRIM(Raw_Data!B27),4,2)),VALUE(LEFT(TRIM(Raw_Data!B27),2))),"CHECK"),Raw_Data!B27))</f>
        <v>46061</v>
      </c>
      <c r="C27" s="31" t="str">
        <f aca="false">IFERROR(INDEX(Reference_Lists!$C$23:$C$35,MATCH(PROPER(TRIM(Raw_Data!C27)),Reference_Lists!$B$23:$B$35,0)),"UNMATCHED")</f>
        <v>Suggestion Box</v>
      </c>
      <c r="D27" s="31" t="str">
        <f aca="false">IFERROR(INDEX(Reference_Lists!$C$36:$C$50,MATCH(PROPER(TRIM(Raw_Data!D27)),Reference_Lists!$B$36:$B$50,0)),"UNMATCHED")</f>
        <v>Deir al-Balah</v>
      </c>
      <c r="E27" s="31" t="str">
        <f aca="false">IF(Raw_Data!E27="","",Raw_Data!E27)</f>
        <v>Shelter</v>
      </c>
      <c r="F27" s="31" t="str">
        <f aca="false">IF(Raw_Data!F27="","",Raw_Data!F27)</f>
        <v>Request for Information</v>
      </c>
      <c r="G27" s="32" t="str">
        <f aca="false">IF(Raw_Data!G27="","",Raw_Data!G27)</f>
        <v>Non-Sensitive</v>
      </c>
      <c r="H27" s="32" t="str">
        <f aca="false">IFERROR(INDEX(Reference_Lists!$C$51:$C$57,MATCH(PROPER(TRIM(Raw_Data!H27)),Reference_Lists!$B$51:$B$57,0)),"UNMATCHED")</f>
        <v>Male</v>
      </c>
      <c r="I27" s="32" t="str">
        <f aca="false">IF(Raw_Data!I27="","",Raw_Data!I27)</f>
        <v>60+</v>
      </c>
      <c r="J27" s="32" t="str">
        <f aca="false">IFERROR(INDEX(Reference_Lists!$C$58:$C$65,MATCH(PROPER(TRIM(Raw_Data!J27)),Reference_Lists!$B$58:$B$65,0)),"UNMATCHED")</f>
        <v>Closed</v>
      </c>
      <c r="K27" s="30" t="n">
        <f aca="false">IF(Raw_Data!K27="","",IF(ISTEXT(Raw_Data!K27),IFERROR(DATE(VALUE(RIGHT(TRIM(Raw_Data!K27),4)),VALUE(MID(TRIM(Raw_Data!K27),4,2)),VALUE(LEFT(TRIM(Raw_Data!K27),2))),"CHECK"),Raw_Data!K27))</f>
        <v>46074</v>
      </c>
      <c r="L27" s="33" t="str">
        <f aca="false">IF(Raw_Data!L27="","",Raw_Data!L27)</f>
        <v>Shelter kit delivered on time and the team explained the use clearly.</v>
      </c>
      <c r="M27" s="34" t="n">
        <f aca="false">IF(OR(B27="",K27=""),"",IFERROR(K27-B27,"CHECK"))</f>
        <v>13</v>
      </c>
      <c r="N27" s="34" t="n">
        <f aca="false">IFERROR(INDEX(Reference_Lists!$H$13:$H$14,MATCH(G27,Reference_Lists!$G$13:$G$14,0)),"UNMATCHED")</f>
        <v>15</v>
      </c>
      <c r="O27" s="35" t="b">
        <f aca="false">IF(AND(J27="Closed",ISNUMBER(M27),ISNUMBER(N27),M27&gt;=0),M27&lt;=N27,"NOT ASSESSED")</f>
        <v>1</v>
      </c>
      <c r="P27" s="36" t="str">
        <f aca="false">Raw_Data!A27</f>
        <v>CFM-2026-0206</v>
      </c>
      <c r="Q27" s="37" t="str">
        <f aca="false">IFERROR(IF(OR($A27="",$P27=""),"MISSING ID",IF(EXACT($A27,$P27),"ALIGNED","MISMATCH")),"CHECK")</f>
        <v>ALIGNED</v>
      </c>
    </row>
    <row r="28" customFormat="false" ht="19.5" hidden="false" customHeight="true" outlineLevel="0" collapsed="false">
      <c r="A28" s="29" t="s">
        <v>105</v>
      </c>
      <c r="B28" s="30" t="n">
        <f aca="false">IF(Raw_Data!B28="","",IF(ISTEXT(Raw_Data!B28),IFERROR(DATE(VALUE(RIGHT(TRIM(Raw_Data!B28),4)),VALUE(MID(TRIM(Raw_Data!B28),4,2)),VALUE(LEFT(TRIM(Raw_Data!B28),2))),"CHECK"),Raw_Data!B28))</f>
        <v>46103</v>
      </c>
      <c r="C28" s="31" t="str">
        <f aca="false">IFERROR(INDEX(Reference_Lists!$C$23:$C$35,MATCH(PROPER(TRIM(Raw_Data!C28)),Reference_Lists!$B$23:$B$35,0)),"UNMATCHED")</f>
        <v>Suggestion Box</v>
      </c>
      <c r="D28" s="31" t="str">
        <f aca="false">IFERROR(INDEX(Reference_Lists!$C$36:$C$50,MATCH(PROPER(TRIM(Raw_Data!D28)),Reference_Lists!$B$36:$B$50,0)),"UNMATCHED")</f>
        <v>Gaza City</v>
      </c>
      <c r="E28" s="31" t="str">
        <f aca="false">IF(Raw_Data!E28="","",Raw_Data!E28)</f>
        <v>WASH</v>
      </c>
      <c r="F28" s="31" t="str">
        <f aca="false">IF(Raw_Data!F28="","",Raw_Data!F28)</f>
        <v>Appreciation</v>
      </c>
      <c r="G28" s="32" t="str">
        <f aca="false">IF(Raw_Data!G28="","",Raw_Data!G28)</f>
        <v>Non-Sensitive</v>
      </c>
      <c r="H28" s="32" t="str">
        <f aca="false">IFERROR(INDEX(Reference_Lists!$C$51:$C$57,MATCH(PROPER(TRIM(Raw_Data!H28)),Reference_Lists!$B$51:$B$57,0)),"UNMATCHED")</f>
        <v>Female</v>
      </c>
      <c r="I28" s="32" t="str">
        <f aca="false">IF(Raw_Data!I28="","",Raw_Data!I28)</f>
        <v>18-29</v>
      </c>
      <c r="J28" s="32" t="str">
        <f aca="false">IFERROR(INDEX(Reference_Lists!$C$58:$C$65,MATCH(PROPER(TRIM(Raw_Data!J28)),Reference_Lists!$B$58:$B$65,0)),"UNMATCHED")</f>
        <v>In Progress</v>
      </c>
      <c r="K28" s="30" t="str">
        <f aca="false">IF(Raw_Data!K28="","",IF(ISTEXT(Raw_Data!K28),IFERROR(DATE(VALUE(RIGHT(TRIM(Raw_Data!K28),4)),VALUE(MID(TRIM(Raw_Data!K28),4,2)),VALUE(LEFT(TRIM(Raw_Data!K28),2))),"CHECK"),Raw_Data!K28))</f>
        <v/>
      </c>
      <c r="L28" s="33" t="str">
        <f aca="false">IF(Raw_Data!L28="","",Raw_Data!L28)</f>
        <v>Requesting additional jerrycans for a shared shelter of four families.</v>
      </c>
      <c r="M28" s="34" t="str">
        <f aca="false">IF(OR(B28="",K28=""),"",IFERROR(K28-B28,"CHECK"))</f>
        <v/>
      </c>
      <c r="N28" s="34" t="n">
        <f aca="false">IFERROR(INDEX(Reference_Lists!$H$13:$H$14,MATCH(G28,Reference_Lists!$G$13:$G$14,0)),"UNMATCHED")</f>
        <v>15</v>
      </c>
      <c r="O28" s="32" t="str">
        <f aca="false">IF(AND(J28="Closed",ISNUMBER(M28),ISNUMBER(N28),M28&gt;=0),M28&lt;=N28,"NOT ASSESSED")</f>
        <v>NOT ASSESSED</v>
      </c>
      <c r="P28" s="36" t="str">
        <f aca="false">Raw_Data!A28</f>
        <v>CFM-2026-0359</v>
      </c>
      <c r="Q28" s="37" t="str">
        <f aca="false">IFERROR(IF(OR($A28="",$P28=""),"MISSING ID",IF(EXACT($A28,$P28),"ALIGNED","MISMATCH")),"CHECK")</f>
        <v>ALIGNED</v>
      </c>
    </row>
    <row r="29" customFormat="false" ht="19.5" hidden="false" customHeight="true" outlineLevel="0" collapsed="false">
      <c r="A29" s="29" t="s">
        <v>107</v>
      </c>
      <c r="B29" s="30" t="n">
        <f aca="false">IF(Raw_Data!B29="","",IF(ISTEXT(Raw_Data!B29),IFERROR(DATE(VALUE(RIGHT(TRIM(Raw_Data!B29),4)),VALUE(MID(TRIM(Raw_Data!B29),4,2)),VALUE(LEFT(TRIM(Raw_Data!B29),2))),"CHECK"),Raw_Data!B29))</f>
        <v>46189</v>
      </c>
      <c r="C29" s="31" t="str">
        <f aca="false">IFERROR(INDEX(Reference_Lists!$C$23:$C$35,MATCH(PROPER(TRIM(Raw_Data!C29)),Reference_Lists!$B$23:$B$35,0)),"UNMATCHED")</f>
        <v>Help Desk</v>
      </c>
      <c r="D29" s="31" t="str">
        <f aca="false">IFERROR(INDEX(Reference_Lists!$C$36:$C$50,MATCH(PROPER(TRIM(Raw_Data!D29)),Reference_Lists!$B$36:$B$50,0)),"UNMATCHED")</f>
        <v>Gaza City</v>
      </c>
      <c r="E29" s="31" t="str">
        <f aca="false">IF(Raw_Data!E29="","",Raw_Data!E29)</f>
        <v>Nutrition</v>
      </c>
      <c r="F29" s="31" t="str">
        <f aca="false">IF(Raw_Data!F29="","",Raw_Data!F29)</f>
        <v>Appreciation</v>
      </c>
      <c r="G29" s="32" t="str">
        <f aca="false">IF(Raw_Data!G29="","",Raw_Data!G29)</f>
        <v>Non-Sensitive</v>
      </c>
      <c r="H29" s="32" t="str">
        <f aca="false">IFERROR(INDEX(Reference_Lists!$C$51:$C$57,MATCH(PROPER(TRIM(Raw_Data!H29)),Reference_Lists!$B$51:$B$57,0)),"UNMATCHED")</f>
        <v>Female</v>
      </c>
      <c r="I29" s="32" t="str">
        <f aca="false">IF(Raw_Data!I29="","",Raw_Data!I29)</f>
        <v>30-44</v>
      </c>
      <c r="J29" s="32" t="str">
        <f aca="false">IFERROR(INDEX(Reference_Lists!$C$58:$C$65,MATCH(PROPER(TRIM(Raw_Data!J29)),Reference_Lists!$B$58:$B$65,0)),"UNMATCHED")</f>
        <v>Referred</v>
      </c>
      <c r="K29" s="30" t="str">
        <f aca="false">IF(Raw_Data!K29="","",IF(ISTEXT(Raw_Data!K29),IFERROR(DATE(VALUE(RIGHT(TRIM(Raw_Data!K29),4)),VALUE(MID(TRIM(Raw_Data!K29),4,2)),VALUE(LEFT(TRIM(Raw_Data!K29),2))),"CHECK"),Raw_Data!K29))</f>
        <v/>
      </c>
      <c r="L29" s="33" t="str">
        <f aca="false">IF(Raw_Data!L29="","",Raw_Data!L29)</f>
        <v>Asking whether children above five are included in the screening.</v>
      </c>
      <c r="M29" s="34" t="str">
        <f aca="false">IF(OR(B29="",K29=""),"",IFERROR(K29-B29,"CHECK"))</f>
        <v/>
      </c>
      <c r="N29" s="34" t="n">
        <f aca="false">IFERROR(INDEX(Reference_Lists!$H$13:$H$14,MATCH(G29,Reference_Lists!$G$13:$G$14,0)),"UNMATCHED")</f>
        <v>15</v>
      </c>
      <c r="O29" s="32" t="str">
        <f aca="false">IF(AND(J29="Closed",ISNUMBER(M29),ISNUMBER(N29),M29&gt;=0),M29&lt;=N29,"NOT ASSESSED")</f>
        <v>NOT ASSESSED</v>
      </c>
      <c r="P29" s="36" t="str">
        <f aca="false">Raw_Data!A29</f>
        <v>CFM-2026-0377</v>
      </c>
      <c r="Q29" s="37" t="str">
        <f aca="false">IFERROR(IF(OR($A29="",$P29=""),"MISSING ID",IF(EXACT($A29,$P29),"ALIGNED","MISMATCH")),"CHECK")</f>
        <v>ALIGNED</v>
      </c>
    </row>
    <row r="30" customFormat="false" ht="19.5" hidden="false" customHeight="true" outlineLevel="0" collapsed="false">
      <c r="A30" s="29" t="s">
        <v>109</v>
      </c>
      <c r="B30" s="30" t="n">
        <f aca="false">IF(Raw_Data!B30="","",IF(ISTEXT(Raw_Data!B30),IFERROR(DATE(VALUE(RIGHT(TRIM(Raw_Data!B30),4)),VALUE(MID(TRIM(Raw_Data!B30),4,2)),VALUE(LEFT(TRIM(Raw_Data!B30),2))),"CHECK"),Raw_Data!B30))</f>
        <v>46099</v>
      </c>
      <c r="C30" s="31" t="str">
        <f aca="false">IFERROR(INDEX(Reference_Lists!$C$23:$C$35,MATCH(PROPER(TRIM(Raw_Data!C30)),Reference_Lists!$B$23:$B$35,0)),"UNMATCHED")</f>
        <v>In-Person at Distribution</v>
      </c>
      <c r="D30" s="31" t="str">
        <f aca="false">IFERROR(INDEX(Reference_Lists!$C$36:$C$50,MATCH(PROPER(TRIM(Raw_Data!D30)),Reference_Lists!$B$36:$B$50,0)),"UNMATCHED")</f>
        <v>Jabalia</v>
      </c>
      <c r="E30" s="31" t="str">
        <f aca="false">IF(Raw_Data!E30="","",Raw_Data!E30)</f>
        <v>WASH</v>
      </c>
      <c r="F30" s="31" t="str">
        <f aca="false">IF(Raw_Data!F30="","",Raw_Data!F30)</f>
        <v>Suggestion</v>
      </c>
      <c r="G30" s="32" t="str">
        <f aca="false">IF(Raw_Data!G30="","",Raw_Data!G30)</f>
        <v>Non-Sensitive</v>
      </c>
      <c r="H30" s="32" t="str">
        <f aca="false">IFERROR(INDEX(Reference_Lists!$C$51:$C$57,MATCH(PROPER(TRIM(Raw_Data!H30)),Reference_Lists!$B$51:$B$57,0)),"UNMATCHED")</f>
        <v>Female</v>
      </c>
      <c r="I30" s="32" t="str">
        <f aca="false">IF(Raw_Data!I30="","",Raw_Data!I30)</f>
        <v>45-59</v>
      </c>
      <c r="J30" s="32" t="str">
        <f aca="false">IFERROR(INDEX(Reference_Lists!$C$58:$C$65,MATCH(PROPER(TRIM(Raw_Data!J30)),Reference_Lists!$B$58:$B$65,0)),"UNMATCHED")</f>
        <v>In Progress</v>
      </c>
      <c r="K30" s="30" t="str">
        <f aca="false">IF(Raw_Data!K30="","",IF(ISTEXT(Raw_Data!K30),IFERROR(DATE(VALUE(RIGHT(TRIM(Raw_Data!K30),4)),VALUE(MID(TRIM(Raw_Data!K30),4,2)),VALUE(LEFT(TRIM(Raw_Data!K30),2))),"CHECK"),Raw_Data!K30))</f>
        <v/>
      </c>
      <c r="L30" s="33" t="str">
        <f aca="false">IF(Raw_Data!L30="","",Raw_Data!L30)</f>
        <v>Latrine at the site block needs cleaning and lighting at night.</v>
      </c>
      <c r="M30" s="34" t="str">
        <f aca="false">IF(OR(B30="",K30=""),"",IFERROR(K30-B30,"CHECK"))</f>
        <v/>
      </c>
      <c r="N30" s="34" t="n">
        <f aca="false">IFERROR(INDEX(Reference_Lists!$H$13:$H$14,MATCH(G30,Reference_Lists!$G$13:$G$14,0)),"UNMATCHED")</f>
        <v>15</v>
      </c>
      <c r="O30" s="32" t="str">
        <f aca="false">IF(AND(J30="Closed",ISNUMBER(M30),ISNUMBER(N30),M30&gt;=0),M30&lt;=N30,"NOT ASSESSED")</f>
        <v>NOT ASSESSED</v>
      </c>
      <c r="P30" s="36" t="str">
        <f aca="false">Raw_Data!A30</f>
        <v>CFM-2026-0401</v>
      </c>
      <c r="Q30" s="37" t="str">
        <f aca="false">IFERROR(IF(OR($A30="",$P30=""),"MISSING ID",IF(EXACT($A30,$P30),"ALIGNED","MISMATCH")),"CHECK")</f>
        <v>ALIGNED</v>
      </c>
    </row>
    <row r="31" customFormat="false" ht="19.5" hidden="false" customHeight="true" outlineLevel="0" collapsed="false">
      <c r="A31" s="29" t="s">
        <v>112</v>
      </c>
      <c r="B31" s="30" t="n">
        <f aca="false">IF(Raw_Data!B31="","",IF(ISTEXT(Raw_Data!B31),IFERROR(DATE(VALUE(RIGHT(TRIM(Raw_Data!B31),4)),VALUE(MID(TRIM(Raw_Data!B31),4,2)),VALUE(LEFT(TRIM(Raw_Data!B31),2))),"CHECK"),Raw_Data!B31))</f>
        <v>46153</v>
      </c>
      <c r="C31" s="31" t="str">
        <f aca="false">IFERROR(INDEX(Reference_Lists!$C$23:$C$35,MATCH(PROPER(TRIM(Raw_Data!C31)),Reference_Lists!$B$23:$B$35,0)),"UNMATCHED")</f>
        <v>Phone Hotline</v>
      </c>
      <c r="D31" s="31" t="str">
        <f aca="false">IFERROR(INDEX(Reference_Lists!$C$36:$C$50,MATCH(PROPER(TRIM(Raw_Data!D31)),Reference_Lists!$B$36:$B$50,0)),"UNMATCHED")</f>
        <v>Nuseirat</v>
      </c>
      <c r="E31" s="31" t="str">
        <f aca="false">IF(Raw_Data!E31="","",Raw_Data!E31)</f>
        <v>Food Security</v>
      </c>
      <c r="F31" s="31" t="str">
        <f aca="false">IF(Raw_Data!F31="","",Raw_Data!F31)</f>
        <v>Complaint</v>
      </c>
      <c r="G31" s="32" t="str">
        <f aca="false">IF(Raw_Data!G31="","",Raw_Data!G31)</f>
        <v>Non-Sensitive</v>
      </c>
      <c r="H31" s="32" t="str">
        <f aca="false">IFERROR(INDEX(Reference_Lists!$C$51:$C$57,MATCH(PROPER(TRIM(Raw_Data!H31)),Reference_Lists!$B$51:$B$57,0)),"UNMATCHED")</f>
        <v>Female</v>
      </c>
      <c r="I31" s="32" t="str">
        <f aca="false">IF(Raw_Data!I31="","",Raw_Data!I31)</f>
        <v>Under 18</v>
      </c>
      <c r="J31" s="32" t="str">
        <f aca="false">IFERROR(INDEX(Reference_Lists!$C$58:$C$65,MATCH(PROPER(TRIM(Raw_Data!J31)),Reference_Lists!$B$58:$B$65,0)),"UNMATCHED")</f>
        <v>Closed</v>
      </c>
      <c r="K31" s="30" t="n">
        <f aca="false">IF(Raw_Data!K31="","",IF(ISTEXT(Raw_Data!K31),IFERROR(DATE(VALUE(RIGHT(TRIM(Raw_Data!K31),4)),VALUE(MID(TRIM(Raw_Data!K31),4,2)),VALUE(LEFT(TRIM(Raw_Data!K31),2))),"CHECK"),Raw_Data!K31))</f>
        <v>46154</v>
      </c>
      <c r="L31" s="33" t="str">
        <f aca="false">IF(Raw_Data!L31="","",Raw_Data!L31)</f>
        <v>Distribution point is far and transport cost is high for our family.</v>
      </c>
      <c r="M31" s="34" t="n">
        <f aca="false">IF(OR(B31="",K31=""),"",IFERROR(K31-B31,"CHECK"))</f>
        <v>1</v>
      </c>
      <c r="N31" s="34" t="n">
        <f aca="false">IFERROR(INDEX(Reference_Lists!$H$13:$H$14,MATCH(G31,Reference_Lists!$G$13:$G$14,0)),"UNMATCHED")</f>
        <v>15</v>
      </c>
      <c r="O31" s="35" t="b">
        <f aca="false">IF(AND(J31="Closed",ISNUMBER(M31),ISNUMBER(N31),M31&gt;=0),M31&lt;=N31,"NOT ASSESSED")</f>
        <v>1</v>
      </c>
      <c r="P31" s="36" t="str">
        <f aca="false">Raw_Data!A31</f>
        <v>CFM-2026-0005</v>
      </c>
      <c r="Q31" s="37" t="str">
        <f aca="false">IFERROR(IF(OR($A31="",$P31=""),"MISSING ID",IF(EXACT($A31,$P31),"ALIGNED","MISMATCH")),"CHECK")</f>
        <v>ALIGNED</v>
      </c>
    </row>
    <row r="32" customFormat="false" ht="19.5" hidden="false" customHeight="true" outlineLevel="0" collapsed="false">
      <c r="A32" s="29" t="s">
        <v>115</v>
      </c>
      <c r="B32" s="30" t="n">
        <f aca="false">IF(Raw_Data!B32="","",IF(ISTEXT(Raw_Data!B32),IFERROR(DATE(VALUE(RIGHT(TRIM(Raw_Data!B32),4)),VALUE(MID(TRIM(Raw_Data!B32),4,2)),VALUE(LEFT(TRIM(Raw_Data!B32),2))),"CHECK"),Raw_Data!B32))</f>
        <v>46068</v>
      </c>
      <c r="C32" s="31" t="str">
        <f aca="false">IFERROR(INDEX(Reference_Lists!$C$23:$C$35,MATCH(PROPER(TRIM(Raw_Data!C32)),Reference_Lists!$B$23:$B$35,0)),"UNMATCHED")</f>
        <v>Help Desk</v>
      </c>
      <c r="D32" s="31" t="str">
        <f aca="false">IFERROR(INDEX(Reference_Lists!$C$36:$C$50,MATCH(PROPER(TRIM(Raw_Data!D32)),Reference_Lists!$B$36:$B$50,0)),"UNMATCHED")</f>
        <v>Jabalia</v>
      </c>
      <c r="E32" s="31" t="str">
        <f aca="false">IF(Raw_Data!E32="","",Raw_Data!E32)</f>
        <v>Shelter</v>
      </c>
      <c r="F32" s="31" t="str">
        <f aca="false">IF(Raw_Data!F32="","",Raw_Data!F32)</f>
        <v>Appreciation</v>
      </c>
      <c r="G32" s="32" t="str">
        <f aca="false">IF(Raw_Data!G32="","",Raw_Data!G32)</f>
        <v>Non-Sensitive</v>
      </c>
      <c r="H32" s="32" t="str">
        <f aca="false">IFERROR(INDEX(Reference_Lists!$C$51:$C$57,MATCH(PROPER(TRIM(Raw_Data!H32)),Reference_Lists!$B$51:$B$57,0)),"UNMATCHED")</f>
        <v>Female</v>
      </c>
      <c r="I32" s="32" t="str">
        <f aca="false">IF(Raw_Data!I32="","",Raw_Data!I32)</f>
        <v>Under 18</v>
      </c>
      <c r="J32" s="32" t="str">
        <f aca="false">IFERROR(INDEX(Reference_Lists!$C$58:$C$65,MATCH(PROPER(TRIM(Raw_Data!J32)),Reference_Lists!$B$58:$B$65,0)),"UNMATCHED")</f>
        <v>Closed</v>
      </c>
      <c r="K32" s="30" t="n">
        <f aca="false">IF(Raw_Data!K32="","",IF(ISTEXT(Raw_Data!K32),IFERROR(DATE(VALUE(RIGHT(TRIM(Raw_Data!K32),4)),VALUE(MID(TRIM(Raw_Data!K32),4,2)),VALUE(LEFT(TRIM(Raw_Data!K32),2))),"CHECK"),Raw_Data!K32))</f>
        <v>46069</v>
      </c>
      <c r="L32" s="33" t="str">
        <f aca="false">IF(Raw_Data!L32="","",Raw_Data!L32)</f>
        <v>Tarpaulin received is torn and does not cover the shelter area.</v>
      </c>
      <c r="M32" s="34" t="n">
        <f aca="false">IF(OR(B32="",K32=""),"",IFERROR(K32-B32,"CHECK"))</f>
        <v>1</v>
      </c>
      <c r="N32" s="34" t="n">
        <f aca="false">IFERROR(INDEX(Reference_Lists!$H$13:$H$14,MATCH(G32,Reference_Lists!$G$13:$G$14,0)),"UNMATCHED")</f>
        <v>15</v>
      </c>
      <c r="O32" s="35" t="b">
        <f aca="false">IF(AND(J32="Closed",ISNUMBER(M32),ISNUMBER(N32),M32&gt;=0),M32&lt;=N32,"NOT ASSESSED")</f>
        <v>1</v>
      </c>
      <c r="P32" s="36" t="str">
        <f aca="false">Raw_Data!A32</f>
        <v>CFM-2026-0406</v>
      </c>
      <c r="Q32" s="37" t="str">
        <f aca="false">IFERROR(IF(OR($A32="",$P32=""),"MISSING ID",IF(EXACT($A32,$P32),"ALIGNED","MISMATCH")),"CHECK")</f>
        <v>ALIGNED</v>
      </c>
    </row>
    <row r="33" customFormat="false" ht="19.5" hidden="false" customHeight="true" outlineLevel="0" collapsed="false">
      <c r="A33" s="29" t="s">
        <v>117</v>
      </c>
      <c r="B33" s="30" t="n">
        <f aca="false">IF(Raw_Data!B33="","",IF(ISTEXT(Raw_Data!B33),IFERROR(DATE(VALUE(RIGHT(TRIM(Raw_Data!B33),4)),VALUE(MID(TRIM(Raw_Data!B33),4,2)),VALUE(LEFT(TRIM(Raw_Data!B33),2))),"CHECK"),Raw_Data!B33))</f>
        <v>46227</v>
      </c>
      <c r="C33" s="31" t="str">
        <f aca="false">IFERROR(INDEX(Reference_Lists!$C$23:$C$35,MATCH(PROPER(TRIM(Raw_Data!C33)),Reference_Lists!$B$23:$B$35,0)),"UNMATCHED")</f>
        <v>Phone Hotline</v>
      </c>
      <c r="D33" s="31" t="str">
        <f aca="false">IFERROR(INDEX(Reference_Lists!$C$36:$C$50,MATCH(PROPER(TRIM(Raw_Data!D33)),Reference_Lists!$B$36:$B$50,0)),"UNMATCHED")</f>
        <v>Rafah</v>
      </c>
      <c r="E33" s="31" t="str">
        <f aca="false">IF(Raw_Data!E33="","",Raw_Data!E33)</f>
        <v>Shelter</v>
      </c>
      <c r="F33" s="31" t="str">
        <f aca="false">IF(Raw_Data!F33="","",Raw_Data!F33)</f>
        <v>Complaint</v>
      </c>
      <c r="G33" s="32" t="str">
        <f aca="false">IF(Raw_Data!G33="","",Raw_Data!G33)</f>
        <v>Non-Sensitive</v>
      </c>
      <c r="H33" s="32" t="str">
        <f aca="false">IFERROR(INDEX(Reference_Lists!$C$51:$C$57,MATCH(PROPER(TRIM(Raw_Data!H33)),Reference_Lists!$B$51:$B$57,0)),"UNMATCHED")</f>
        <v>Male</v>
      </c>
      <c r="I33" s="32" t="str">
        <f aca="false">IF(Raw_Data!I33="","",Raw_Data!I33)</f>
        <v>45-59</v>
      </c>
      <c r="J33" s="32" t="str">
        <f aca="false">IFERROR(INDEX(Reference_Lists!$C$58:$C$65,MATCH(PROPER(TRIM(Raw_Data!J33)),Reference_Lists!$B$58:$B$65,0)),"UNMATCHED")</f>
        <v>Closed</v>
      </c>
      <c r="K33" s="30" t="n">
        <f aca="false">IF(Raw_Data!K33="","",IF(ISTEXT(Raw_Data!K33),IFERROR(DATE(VALUE(RIGHT(TRIM(Raw_Data!K33),4)),VALUE(MID(TRIM(Raw_Data!K33),4,2)),VALUE(LEFT(TRIM(Raw_Data!K33),2))),"CHECK"),Raw_Data!K33))</f>
        <v>46243</v>
      </c>
      <c r="L33" s="33" t="str">
        <f aca="false">IF(Raw_Data!L33="","",Raw_Data!L33)</f>
        <v/>
      </c>
      <c r="M33" s="34" t="n">
        <f aca="false">IF(OR(B33="",K33=""),"",IFERROR(K33-B33,"CHECK"))</f>
        <v>16</v>
      </c>
      <c r="N33" s="34" t="n">
        <f aca="false">IFERROR(INDEX(Reference_Lists!$H$13:$H$14,MATCH(G33,Reference_Lists!$G$13:$G$14,0)),"UNMATCHED")</f>
        <v>15</v>
      </c>
      <c r="O33" s="35" t="b">
        <f aca="false">IF(AND(J33="Closed",ISNUMBER(M33),ISNUMBER(N33),M33&gt;=0),M33&lt;=N33,"NOT ASSESSED")</f>
        <v>0</v>
      </c>
      <c r="P33" s="36" t="str">
        <f aca="false">Raw_Data!A33</f>
        <v>CFM-2026-0419</v>
      </c>
      <c r="Q33" s="37" t="str">
        <f aca="false">IFERROR(IF(OR($A33="",$P33=""),"MISSING ID",IF(EXACT($A33,$P33),"ALIGNED","MISMATCH")),"CHECK")</f>
        <v>ALIGNED</v>
      </c>
    </row>
    <row r="34" customFormat="false" ht="19.5" hidden="false" customHeight="true" outlineLevel="0" collapsed="false">
      <c r="A34" s="29" t="s">
        <v>118</v>
      </c>
      <c r="B34" s="30" t="n">
        <f aca="false">IF(Raw_Data!B34="","",IF(ISTEXT(Raw_Data!B34),IFERROR(DATE(VALUE(RIGHT(TRIM(Raw_Data!B34),4)),VALUE(MID(TRIM(Raw_Data!B34),4,2)),VALUE(LEFT(TRIM(Raw_Data!B34),2))),"CHECK"),Raw_Data!B34))</f>
        <v>46143</v>
      </c>
      <c r="C34" s="31" t="str">
        <f aca="false">IFERROR(INDEX(Reference_Lists!$C$23:$C$35,MATCH(PROPER(TRIM(Raw_Data!C34)),Reference_Lists!$B$23:$B$35,0)),"UNMATCHED")</f>
        <v>In-Person at Distribution</v>
      </c>
      <c r="D34" s="31" t="str">
        <f aca="false">IFERROR(INDEX(Reference_Lists!$C$36:$C$50,MATCH(PROPER(TRIM(Raw_Data!D34)),Reference_Lists!$B$36:$B$50,0)),"UNMATCHED")</f>
        <v>Deir al-Balah</v>
      </c>
      <c r="E34" s="31" t="str">
        <f aca="false">IF(Raw_Data!E34="","",Raw_Data!E34)</f>
        <v>Food Security</v>
      </c>
      <c r="F34" s="31" t="str">
        <f aca="false">IF(Raw_Data!F34="","",Raw_Data!F34)</f>
        <v>Appreciation</v>
      </c>
      <c r="G34" s="32" t="str">
        <f aca="false">IF(Raw_Data!G34="","",Raw_Data!G34)</f>
        <v>Non-Sensitive</v>
      </c>
      <c r="H34" s="32" t="str">
        <f aca="false">IFERROR(INDEX(Reference_Lists!$C$51:$C$57,MATCH(PROPER(TRIM(Raw_Data!H34)),Reference_Lists!$B$51:$B$57,0)),"UNMATCHED")</f>
        <v>Female</v>
      </c>
      <c r="I34" s="32" t="str">
        <f aca="false">IF(Raw_Data!I34="","",Raw_Data!I34)</f>
        <v>45-59</v>
      </c>
      <c r="J34" s="32" t="str">
        <f aca="false">IFERROR(INDEX(Reference_Lists!$C$58:$C$65,MATCH(PROPER(TRIM(Raw_Data!J34)),Reference_Lists!$B$58:$B$65,0)),"UNMATCHED")</f>
        <v>Open</v>
      </c>
      <c r="K34" s="30" t="n">
        <f aca="false">IF(Raw_Data!K34="","",IF(ISTEXT(Raw_Data!K34),IFERROR(DATE(VALUE(RIGHT(TRIM(Raw_Data!K34),4)),VALUE(MID(TRIM(Raw_Data!K34),4,2)),VALUE(LEFT(TRIM(Raw_Data!K34),2))),"CHECK"),Raw_Data!K34))</f>
        <v>46163</v>
      </c>
      <c r="L34" s="33" t="str">
        <f aca="false">IF(Raw_Data!L34="","",Raw_Data!L34)</f>
        <v>Distribution point is far and transport cost is high for our family.</v>
      </c>
      <c r="M34" s="34" t="n">
        <f aca="false">IF(OR(B34="",K34=""),"",IFERROR(K34-B34,"CHECK"))</f>
        <v>20</v>
      </c>
      <c r="N34" s="34" t="n">
        <f aca="false">IFERROR(INDEX(Reference_Lists!$H$13:$H$14,MATCH(G34,Reference_Lists!$G$13:$G$14,0)),"UNMATCHED")</f>
        <v>15</v>
      </c>
      <c r="O34" s="32" t="str">
        <f aca="false">IF(AND(J34="Closed",ISNUMBER(M34),ISNUMBER(N34),M34&gt;=0),M34&lt;=N34,"NOT ASSESSED")</f>
        <v>NOT ASSESSED</v>
      </c>
      <c r="P34" s="36" t="str">
        <f aca="false">Raw_Data!A34</f>
        <v>CFM-2026-0302</v>
      </c>
      <c r="Q34" s="37" t="str">
        <f aca="false">IFERROR(IF(OR($A34="",$P34=""),"MISSING ID",IF(EXACT($A34,$P34),"ALIGNED","MISMATCH")),"CHECK")</f>
        <v>ALIGNED</v>
      </c>
    </row>
    <row r="35" customFormat="false" ht="19.5" hidden="false" customHeight="true" outlineLevel="0" collapsed="false">
      <c r="A35" s="29" t="s">
        <v>119</v>
      </c>
      <c r="B35" s="30" t="n">
        <f aca="false">IF(Raw_Data!B35="","",IF(ISTEXT(Raw_Data!B35),IFERROR(DATE(VALUE(RIGHT(TRIM(Raw_Data!B35),4)),VALUE(MID(TRIM(Raw_Data!B35),4,2)),VALUE(LEFT(TRIM(Raw_Data!B35),2))),"CHECK"),Raw_Data!B35))</f>
        <v>46045</v>
      </c>
      <c r="C35" s="31" t="str">
        <f aca="false">IFERROR(INDEX(Reference_Lists!$C$23:$C$35,MATCH(PROPER(TRIM(Raw_Data!C35)),Reference_Lists!$B$23:$B$35,0)),"UNMATCHED")</f>
        <v>In-Person at Distribution</v>
      </c>
      <c r="D35" s="31" t="str">
        <f aca="false">IFERROR(INDEX(Reference_Lists!$C$36:$C$50,MATCH(PROPER(TRIM(Raw_Data!D35)),Reference_Lists!$B$36:$B$50,0)),"UNMATCHED")</f>
        <v>Gaza City</v>
      </c>
      <c r="E35" s="31" t="str">
        <f aca="false">IF(Raw_Data!E35="","",Raw_Data!E35)</f>
        <v>Health</v>
      </c>
      <c r="F35" s="31" t="str">
        <f aca="false">IF(Raw_Data!F35="","",Raw_Data!F35)</f>
        <v>Complaint</v>
      </c>
      <c r="G35" s="32" t="str">
        <f aca="false">IF(Raw_Data!G35="","",Raw_Data!G35)</f>
        <v>Non-Sensitive</v>
      </c>
      <c r="H35" s="32" t="str">
        <f aca="false">IFERROR(INDEX(Reference_Lists!$C$51:$C$57,MATCH(PROPER(TRIM(Raw_Data!H35)),Reference_Lists!$B$51:$B$57,0)),"UNMATCHED")</f>
        <v>Male</v>
      </c>
      <c r="I35" s="32" t="str">
        <f aca="false">IF(Raw_Data!I35="","",Raw_Data!I35)</f>
        <v>Under 18</v>
      </c>
      <c r="J35" s="32" t="str">
        <f aca="false">IFERROR(INDEX(Reference_Lists!$C$58:$C$65,MATCH(PROPER(TRIM(Raw_Data!J35)),Reference_Lists!$B$58:$B$65,0)),"UNMATCHED")</f>
        <v>Closed</v>
      </c>
      <c r="K35" s="30" t="n">
        <f aca="false">IF(Raw_Data!K35="","",IF(ISTEXT(Raw_Data!K35),IFERROR(DATE(VALUE(RIGHT(TRIM(Raw_Data!K35),4)),VALUE(MID(TRIM(Raw_Data!K35),4,2)),VALUE(LEFT(TRIM(Raw_Data!K35),2))),"CHECK"),Raw_Data!K35))</f>
        <v>46073</v>
      </c>
      <c r="L35" s="33" t="str">
        <f aca="false">IF(Raw_Data!L35="","",Raw_Data!L35)</f>
        <v>Waiting time at the mobile clinic is long during afternoon hours.</v>
      </c>
      <c r="M35" s="34" t="n">
        <f aca="false">IF(OR(B35="",K35=""),"",IFERROR(K35-B35,"CHECK"))</f>
        <v>28</v>
      </c>
      <c r="N35" s="34" t="n">
        <f aca="false">IFERROR(INDEX(Reference_Lists!$H$13:$H$14,MATCH(G35,Reference_Lists!$G$13:$G$14,0)),"UNMATCHED")</f>
        <v>15</v>
      </c>
      <c r="O35" s="35" t="b">
        <f aca="false">IF(AND(J35="Closed",ISNUMBER(M35),ISNUMBER(N35),M35&gt;=0),M35&lt;=N35,"NOT ASSESSED")</f>
        <v>0</v>
      </c>
      <c r="P35" s="36" t="str">
        <f aca="false">Raw_Data!A35</f>
        <v>CFM-2026-0265</v>
      </c>
      <c r="Q35" s="37" t="str">
        <f aca="false">IFERROR(IF(OR($A35="",$P35=""),"MISSING ID",IF(EXACT($A35,$P35),"ALIGNED","MISMATCH")),"CHECK")</f>
        <v>ALIGNED</v>
      </c>
    </row>
    <row r="36" customFormat="false" ht="19.5" hidden="false" customHeight="true" outlineLevel="0" collapsed="false">
      <c r="A36" s="29" t="s">
        <v>120</v>
      </c>
      <c r="B36" s="30" t="n">
        <f aca="false">IF(Raw_Data!B36="","",IF(ISTEXT(Raw_Data!B36),IFERROR(DATE(VALUE(RIGHT(TRIM(Raw_Data!B36),4)),VALUE(MID(TRIM(Raw_Data!B36),4,2)),VALUE(LEFT(TRIM(Raw_Data!B36),2))),"CHECK"),Raw_Data!B36))</f>
        <v>46061</v>
      </c>
      <c r="C36" s="31" t="str">
        <f aca="false">IFERROR(INDEX(Reference_Lists!$C$23:$C$35,MATCH(PROPER(TRIM(Raw_Data!C36)),Reference_Lists!$B$23:$B$35,0)),"UNMATCHED")</f>
        <v>Help Desk</v>
      </c>
      <c r="D36" s="31" t="str">
        <f aca="false">IFERROR(INDEX(Reference_Lists!$C$36:$C$50,MATCH(PROPER(TRIM(Raw_Data!D36)),Reference_Lists!$B$36:$B$50,0)),"UNMATCHED")</f>
        <v>Rafah</v>
      </c>
      <c r="E36" s="31" t="str">
        <f aca="false">IF(Raw_Data!E36="","",Raw_Data!E36)</f>
        <v/>
      </c>
      <c r="F36" s="31" t="str">
        <f aca="false">IF(Raw_Data!F36="","",Raw_Data!F36)</f>
        <v>Complaint</v>
      </c>
      <c r="G36" s="32" t="str">
        <f aca="false">IF(Raw_Data!G36="","",Raw_Data!G36)</f>
        <v>Non-Sensitive</v>
      </c>
      <c r="H36" s="32" t="str">
        <f aca="false">IFERROR(INDEX(Reference_Lists!$C$51:$C$57,MATCH(PROPER(TRIM(Raw_Data!H36)),Reference_Lists!$B$51:$B$57,0)),"UNMATCHED")</f>
        <v>Female</v>
      </c>
      <c r="I36" s="32" t="str">
        <f aca="false">IF(Raw_Data!I36="","",Raw_Data!I36)</f>
        <v>30-44</v>
      </c>
      <c r="J36" s="32" t="str">
        <f aca="false">IFERROR(INDEX(Reference_Lists!$C$58:$C$65,MATCH(PROPER(TRIM(Raw_Data!J36)),Reference_Lists!$B$58:$B$65,0)),"UNMATCHED")</f>
        <v>Closed</v>
      </c>
      <c r="K36" s="30" t="n">
        <f aca="false">IF(Raw_Data!K36="","",IF(ISTEXT(Raw_Data!K36),IFERROR(DATE(VALUE(RIGHT(TRIM(Raw_Data!K36),4)),VALUE(MID(TRIM(Raw_Data!K36),4,2)),VALUE(LEFT(TRIM(Raw_Data!K36),2))),"CHECK"),Raw_Data!K36))</f>
        <v>46067</v>
      </c>
      <c r="L36" s="33" t="str">
        <f aca="false">IF(Raw_Data!L36="","",Raw_Data!L36)</f>
        <v>Requesting a referral pathway for a family member with limited mobility.</v>
      </c>
      <c r="M36" s="34" t="n">
        <f aca="false">IF(OR(B36="",K36=""),"",IFERROR(K36-B36,"CHECK"))</f>
        <v>6</v>
      </c>
      <c r="N36" s="34" t="n">
        <f aca="false">IFERROR(INDEX(Reference_Lists!$H$13:$H$14,MATCH(G36,Reference_Lists!$G$13:$G$14,0)),"UNMATCHED")</f>
        <v>15</v>
      </c>
      <c r="O36" s="35" t="b">
        <f aca="false">IF(AND(J36="Closed",ISNUMBER(M36),ISNUMBER(N36),M36&gt;=0),M36&lt;=N36,"NOT ASSESSED")</f>
        <v>1</v>
      </c>
      <c r="P36" s="36" t="str">
        <f aca="false">Raw_Data!A36</f>
        <v>CFM-2026-0249</v>
      </c>
      <c r="Q36" s="37" t="str">
        <f aca="false">IFERROR(IF(OR($A36="",$P36=""),"MISSING ID",IF(EXACT($A36,$P36),"ALIGNED","MISMATCH")),"CHECK")</f>
        <v>ALIGNED</v>
      </c>
    </row>
    <row r="37" customFormat="false" ht="19.5" hidden="false" customHeight="true" outlineLevel="0" collapsed="false">
      <c r="A37" s="29" t="s">
        <v>122</v>
      </c>
      <c r="B37" s="30" t="n">
        <f aca="false">IF(Raw_Data!B37="","",IF(ISTEXT(Raw_Data!B37),IFERROR(DATE(VALUE(RIGHT(TRIM(Raw_Data!B37),4)),VALUE(MID(TRIM(Raw_Data!B37),4,2)),VALUE(LEFT(TRIM(Raw_Data!B37),2))),"CHECK"),Raw_Data!B37))</f>
        <v>46057</v>
      </c>
      <c r="C37" s="31" t="str">
        <f aca="false">IFERROR(INDEX(Reference_Lists!$C$23:$C$35,MATCH(PROPER(TRIM(Raw_Data!C37)),Reference_Lists!$B$23:$B$35,0)),"UNMATCHED")</f>
        <v>In-Person at Distribution</v>
      </c>
      <c r="D37" s="31" t="str">
        <f aca="false">IFERROR(INDEX(Reference_Lists!$C$36:$C$50,MATCH(PROPER(TRIM(Raw_Data!D37)),Reference_Lists!$B$36:$B$50,0)),"UNMATCHED")</f>
        <v>Deir al-Balah</v>
      </c>
      <c r="E37" s="31" t="str">
        <f aca="false">IF(Raw_Data!E37="","",Raw_Data!E37)</f>
        <v>WASH</v>
      </c>
      <c r="F37" s="31" t="str">
        <f aca="false">IF(Raw_Data!F37="","",Raw_Data!F37)</f>
        <v>Sensitive Complaint</v>
      </c>
      <c r="G37" s="32" t="str">
        <f aca="false">IF(Raw_Data!G37="","",Raw_Data!G37)</f>
        <v>Sensitive</v>
      </c>
      <c r="H37" s="32" t="str">
        <f aca="false">IFERROR(INDEX(Reference_Lists!$C$51:$C$57,MATCH(PROPER(TRIM(Raw_Data!H37)),Reference_Lists!$B$51:$B$57,0)),"UNMATCHED")</f>
        <v>Male</v>
      </c>
      <c r="I37" s="32" t="str">
        <f aca="false">IF(Raw_Data!I37="","",Raw_Data!I37)</f>
        <v>30-44</v>
      </c>
      <c r="J37" s="32" t="str">
        <f aca="false">IFERROR(INDEX(Reference_Lists!$C$58:$C$65,MATCH(PROPER(TRIM(Raw_Data!J37)),Reference_Lists!$B$58:$B$65,0)),"UNMATCHED")</f>
        <v>In Progress</v>
      </c>
      <c r="K37" s="30" t="str">
        <f aca="false">IF(Raw_Data!K37="","",IF(ISTEXT(Raw_Data!K37),IFERROR(DATE(VALUE(RIGHT(TRIM(Raw_Data!K37),4)),VALUE(MID(TRIM(Raw_Data!K37),4,2)),VALUE(LEFT(TRIM(Raw_Data!K37),2))),"CHECK"),Raw_Data!K37))</f>
        <v/>
      </c>
      <c r="L37" s="33" t="str">
        <f aca="false">IF(Raw_Data!L37="","",Raw_Data!L37)</f>
        <v>Sensitive case - details recorded separately by the focal point; not stored in this tracker.</v>
      </c>
      <c r="M37" s="34" t="str">
        <f aca="false">IF(OR(B37="",K37=""),"",IFERROR(K37-B37,"CHECK"))</f>
        <v/>
      </c>
      <c r="N37" s="34" t="n">
        <f aca="false">IFERROR(INDEX(Reference_Lists!$H$13:$H$14,MATCH(G37,Reference_Lists!$G$13:$G$14,0)),"UNMATCHED")</f>
        <v>3</v>
      </c>
      <c r="O37" s="32" t="str">
        <f aca="false">IF(AND(J37="Closed",ISNUMBER(M37),ISNUMBER(N37),M37&gt;=0),M37&lt;=N37,"NOT ASSESSED")</f>
        <v>NOT ASSESSED</v>
      </c>
      <c r="P37" s="36" t="str">
        <f aca="false">Raw_Data!A37</f>
        <v>CFM-2026-0390</v>
      </c>
      <c r="Q37" s="37" t="str">
        <f aca="false">IFERROR(IF(OR($A37="",$P37=""),"MISSING ID",IF(EXACT($A37,$P37),"ALIGNED","MISMATCH")),"CHECK")</f>
        <v>ALIGNED</v>
      </c>
    </row>
    <row r="38" customFormat="false" ht="19.5" hidden="false" customHeight="true" outlineLevel="0" collapsed="false">
      <c r="A38" s="29" t="s">
        <v>124</v>
      </c>
      <c r="B38" s="30" t="n">
        <f aca="false">IF(Raw_Data!B38="","",IF(ISTEXT(Raw_Data!B38),IFERROR(DATE(VALUE(RIGHT(TRIM(Raw_Data!B38),4)),VALUE(MID(TRIM(Raw_Data!B38),4,2)),VALUE(LEFT(TRIM(Raw_Data!B38),2))),"CHECK"),Raw_Data!B38))</f>
        <v>46162</v>
      </c>
      <c r="C38" s="31" t="str">
        <f aca="false">IFERROR(INDEX(Reference_Lists!$C$23:$C$35,MATCH(PROPER(TRIM(Raw_Data!C38)),Reference_Lists!$B$23:$B$35,0)),"UNMATCHED")</f>
        <v>In-Person at Distribution</v>
      </c>
      <c r="D38" s="31" t="str">
        <f aca="false">IFERROR(INDEX(Reference_Lists!$C$36:$C$50,MATCH(PROPER(TRIM(Raw_Data!D38)),Reference_Lists!$B$36:$B$50,0)),"UNMATCHED")</f>
        <v>Deir al-Balah</v>
      </c>
      <c r="E38" s="31" t="str">
        <f aca="false">IF(Raw_Data!E38="","",Raw_Data!E38)</f>
        <v>Shelter</v>
      </c>
      <c r="F38" s="31" t="str">
        <f aca="false">IF(Raw_Data!F38="","",Raw_Data!F38)</f>
        <v>Request for Information</v>
      </c>
      <c r="G38" s="32" t="str">
        <f aca="false">IF(Raw_Data!G38="","",Raw_Data!G38)</f>
        <v>Non-Sensitive</v>
      </c>
      <c r="H38" s="32" t="str">
        <f aca="false">IFERROR(INDEX(Reference_Lists!$C$51:$C$57,MATCH(PROPER(TRIM(Raw_Data!H38)),Reference_Lists!$B$51:$B$57,0)),"UNMATCHED")</f>
        <v>Prefer not to say</v>
      </c>
      <c r="I38" s="32" t="str">
        <f aca="false">IF(Raw_Data!I38="","",Raw_Data!I38)</f>
        <v>30-44</v>
      </c>
      <c r="J38" s="32" t="str">
        <f aca="false">IFERROR(INDEX(Reference_Lists!$C$58:$C$65,MATCH(PROPER(TRIM(Raw_Data!J38)),Reference_Lists!$B$58:$B$65,0)),"UNMATCHED")</f>
        <v>Closed</v>
      </c>
      <c r="K38" s="30" t="n">
        <f aca="false">IF(Raw_Data!K38="","",IF(ISTEXT(Raw_Data!K38),IFERROR(DATE(VALUE(RIGHT(TRIM(Raw_Data!K38),4)),VALUE(MID(TRIM(Raw_Data!K38),4,2)),VALUE(LEFT(TRIM(Raw_Data!K38),2))),"CHECK"),Raw_Data!K38))</f>
        <v>46190</v>
      </c>
      <c r="L38" s="33" t="str">
        <f aca="false">IF(Raw_Data!L38="","",Raw_Data!L38)</f>
        <v>Requesting information about the criteria for shelter repair kits.</v>
      </c>
      <c r="M38" s="34" t="n">
        <f aca="false">IF(OR(B38="",K38=""),"",IFERROR(K38-B38,"CHECK"))</f>
        <v>28</v>
      </c>
      <c r="N38" s="34" t="n">
        <f aca="false">IFERROR(INDEX(Reference_Lists!$H$13:$H$14,MATCH(G38,Reference_Lists!$G$13:$G$14,0)),"UNMATCHED")</f>
        <v>15</v>
      </c>
      <c r="O38" s="35" t="b">
        <f aca="false">IF(AND(J38="Closed",ISNUMBER(M38),ISNUMBER(N38),M38&gt;=0),M38&lt;=N38,"NOT ASSESSED")</f>
        <v>0</v>
      </c>
      <c r="P38" s="36" t="str">
        <f aca="false">Raw_Data!A38</f>
        <v>CFM-2026-0101</v>
      </c>
      <c r="Q38" s="37" t="str">
        <f aca="false">IFERROR(IF(OR($A38="",$P38=""),"MISSING ID",IF(EXACT($A38,$P38),"ALIGNED","MISMATCH")),"CHECK")</f>
        <v>ALIGNED</v>
      </c>
    </row>
    <row r="39" customFormat="false" ht="19.5" hidden="false" customHeight="true" outlineLevel="0" collapsed="false">
      <c r="A39" s="29" t="s">
        <v>126</v>
      </c>
      <c r="B39" s="30" t="n">
        <f aca="false">IF(Raw_Data!B39="","",IF(ISTEXT(Raw_Data!B39),IFERROR(DATE(VALUE(RIGHT(TRIM(Raw_Data!B39),4)),VALUE(MID(TRIM(Raw_Data!B39),4,2)),VALUE(LEFT(TRIM(Raw_Data!B39),2))),"CHECK"),Raw_Data!B39))</f>
        <v>46069</v>
      </c>
      <c r="C39" s="31" t="str">
        <f aca="false">IFERROR(INDEX(Reference_Lists!$C$23:$C$35,MATCH(PROPER(TRIM(Raw_Data!C39)),Reference_Lists!$B$23:$B$35,0)),"UNMATCHED")</f>
        <v>Community Focal Point</v>
      </c>
      <c r="D39" s="31" t="str">
        <f aca="false">IFERROR(INDEX(Reference_Lists!$C$36:$C$50,MATCH(PROPER(TRIM(Raw_Data!D39)),Reference_Lists!$B$36:$B$50,0)),"UNMATCHED")</f>
        <v>Nuseirat</v>
      </c>
      <c r="E39" s="31" t="str">
        <f aca="false">IF(Raw_Data!E39="","",Raw_Data!E39)</f>
        <v>Health</v>
      </c>
      <c r="F39" s="31" t="str">
        <f aca="false">IF(Raw_Data!F39="","",Raw_Data!F39)</f>
        <v>Complaint</v>
      </c>
      <c r="G39" s="32" t="str">
        <f aca="false">IF(Raw_Data!G39="","",Raw_Data!G39)</f>
        <v>Non-Sensitive</v>
      </c>
      <c r="H39" s="32" t="str">
        <f aca="false">IFERROR(INDEX(Reference_Lists!$C$51:$C$57,MATCH(PROPER(TRIM(Raw_Data!H39)),Reference_Lists!$B$51:$B$57,0)),"UNMATCHED")</f>
        <v>Female</v>
      </c>
      <c r="I39" s="32" t="str">
        <f aca="false">IF(Raw_Data!I39="","",Raw_Data!I39)</f>
        <v>45-59</v>
      </c>
      <c r="J39" s="32" t="str">
        <f aca="false">IFERROR(INDEX(Reference_Lists!$C$58:$C$65,MATCH(PROPER(TRIM(Raw_Data!J39)),Reference_Lists!$B$58:$B$65,0)),"UNMATCHED")</f>
        <v>Closed</v>
      </c>
      <c r="K39" s="30" t="n">
        <f aca="false">IF(Raw_Data!K39="","",IF(ISTEXT(Raw_Data!K39),IFERROR(DATE(VALUE(RIGHT(TRIM(Raw_Data!K39),4)),VALUE(MID(TRIM(Raw_Data!K39),4,2)),VALUE(LEFT(TRIM(Raw_Data!K39),2))),"CHECK"),Raw_Data!K39))</f>
        <v>46077</v>
      </c>
      <c r="L39" s="33" t="str">
        <f aca="false">IF(Raw_Data!L39="","",Raw_Data!L39)</f>
        <v>Waiting time at the mobile clinic is long during afternoon hours.</v>
      </c>
      <c r="M39" s="34" t="n">
        <f aca="false">IF(OR(B39="",K39=""),"",IFERROR(K39-B39,"CHECK"))</f>
        <v>8</v>
      </c>
      <c r="N39" s="34" t="n">
        <f aca="false">IFERROR(INDEX(Reference_Lists!$H$13:$H$14,MATCH(G39,Reference_Lists!$G$13:$G$14,0)),"UNMATCHED")</f>
        <v>15</v>
      </c>
      <c r="O39" s="35" t="b">
        <f aca="false">IF(AND(J39="Closed",ISNUMBER(M39),ISNUMBER(N39),M39&gt;=0),M39&lt;=N39,"NOT ASSESSED")</f>
        <v>1</v>
      </c>
      <c r="P39" s="36" t="str">
        <f aca="false">Raw_Data!A39</f>
        <v>CFM-2026-0290</v>
      </c>
      <c r="Q39" s="37" t="str">
        <f aca="false">IFERROR(IF(OR($A39="",$P39=""),"MISSING ID",IF(EXACT($A39,$P39),"ALIGNED","MISMATCH")),"CHECK")</f>
        <v>ALIGNED</v>
      </c>
    </row>
    <row r="40" customFormat="false" ht="19.5" hidden="false" customHeight="true" outlineLevel="0" collapsed="false">
      <c r="A40" s="29" t="s">
        <v>128</v>
      </c>
      <c r="B40" s="30" t="n">
        <f aca="false">IF(Raw_Data!B40="","",IF(ISTEXT(Raw_Data!B40),IFERROR(DATE(VALUE(RIGHT(TRIM(Raw_Data!B40),4)),VALUE(MID(TRIM(Raw_Data!B40),4,2)),VALUE(LEFT(TRIM(Raw_Data!B40),2))),"CHECK"),Raw_Data!B40))</f>
        <v>46053</v>
      </c>
      <c r="C40" s="31" t="str">
        <f aca="false">IFERROR(INDEX(Reference_Lists!$C$23:$C$35,MATCH(PROPER(TRIM(Raw_Data!C40)),Reference_Lists!$B$23:$B$35,0)),"UNMATCHED")</f>
        <v>Phone Hotline</v>
      </c>
      <c r="D40" s="31" t="str">
        <f aca="false">IFERROR(INDEX(Reference_Lists!$C$36:$C$50,MATCH(PROPER(TRIM(Raw_Data!D40)),Reference_Lists!$B$36:$B$50,0)),"UNMATCHED")</f>
        <v>Gaza City</v>
      </c>
      <c r="E40" s="31" t="str">
        <f aca="false">IF(Raw_Data!E40="","",Raw_Data!E40)</f>
        <v>Health</v>
      </c>
      <c r="F40" s="31" t="str">
        <f aca="false">IF(Raw_Data!F40="","",Raw_Data!F40)</f>
        <v>Sensitive Complaint</v>
      </c>
      <c r="G40" s="32" t="str">
        <f aca="false">IF(Raw_Data!G40="","",Raw_Data!G40)</f>
        <v>Sensitive</v>
      </c>
      <c r="H40" s="32" t="str">
        <f aca="false">IFERROR(INDEX(Reference_Lists!$C$51:$C$57,MATCH(PROPER(TRIM(Raw_Data!H40)),Reference_Lists!$B$51:$B$57,0)),"UNMATCHED")</f>
        <v>Female</v>
      </c>
      <c r="I40" s="32" t="str">
        <f aca="false">IF(Raw_Data!I40="","",Raw_Data!I40)</f>
        <v>18-29</v>
      </c>
      <c r="J40" s="32" t="str">
        <f aca="false">IFERROR(INDEX(Reference_Lists!$C$58:$C$65,MATCH(PROPER(TRIM(Raw_Data!J40)),Reference_Lists!$B$58:$B$65,0)),"UNMATCHED")</f>
        <v>Open</v>
      </c>
      <c r="K40" s="30" t="str">
        <f aca="false">IF(Raw_Data!K40="","",IF(ISTEXT(Raw_Data!K40),IFERROR(DATE(VALUE(RIGHT(TRIM(Raw_Data!K40),4)),VALUE(MID(TRIM(Raw_Data!K40),4,2)),VALUE(LEFT(TRIM(Raw_Data!K40),2))),"CHECK"),Raw_Data!K40))</f>
        <v/>
      </c>
      <c r="L40" s="33" t="str">
        <f aca="false">IF(Raw_Data!L40="","",Raw_Data!L40)</f>
        <v>Sensitive case - details recorded separately by the focal point; not stored in this tracker.</v>
      </c>
      <c r="M40" s="34" t="str">
        <f aca="false">IF(OR(B40="",K40=""),"",IFERROR(K40-B40,"CHECK"))</f>
        <v/>
      </c>
      <c r="N40" s="34" t="n">
        <f aca="false">IFERROR(INDEX(Reference_Lists!$H$13:$H$14,MATCH(G40,Reference_Lists!$G$13:$G$14,0)),"UNMATCHED")</f>
        <v>3</v>
      </c>
      <c r="O40" s="32" t="str">
        <f aca="false">IF(AND(J40="Closed",ISNUMBER(M40),ISNUMBER(N40),M40&gt;=0),M40&lt;=N40,"NOT ASSESSED")</f>
        <v>NOT ASSESSED</v>
      </c>
      <c r="P40" s="36" t="str">
        <f aca="false">Raw_Data!A40</f>
        <v>CFM-2026-0173</v>
      </c>
      <c r="Q40" s="37" t="str">
        <f aca="false">IFERROR(IF(OR($A40="",$P40=""),"MISSING ID",IF(EXACT($A40,$P40),"ALIGNED","MISMATCH")),"CHECK")</f>
        <v>ALIGNED</v>
      </c>
    </row>
    <row r="41" customFormat="false" ht="19.5" hidden="false" customHeight="true" outlineLevel="0" collapsed="false">
      <c r="A41" s="29" t="s">
        <v>130</v>
      </c>
      <c r="B41" s="30" t="n">
        <f aca="false">IF(Raw_Data!B41="","",IF(ISTEXT(Raw_Data!B41),IFERROR(DATE(VALUE(RIGHT(TRIM(Raw_Data!B41),4)),VALUE(MID(TRIM(Raw_Data!B41),4,2)),VALUE(LEFT(TRIM(Raw_Data!B41),2))),"CHECK"),Raw_Data!B41))</f>
        <v>46153</v>
      </c>
      <c r="C41" s="31" t="str">
        <f aca="false">IFERROR(INDEX(Reference_Lists!$C$23:$C$35,MATCH(PROPER(TRIM(Raw_Data!C41)),Reference_Lists!$B$23:$B$35,0)),"UNMATCHED")</f>
        <v>Suggestion Box</v>
      </c>
      <c r="D41" s="31" t="str">
        <f aca="false">IFERROR(INDEX(Reference_Lists!$C$36:$C$50,MATCH(PROPER(TRIM(Raw_Data!D41)),Reference_Lists!$B$36:$B$50,0)),"UNMATCHED")</f>
        <v>Khan Yunis</v>
      </c>
      <c r="E41" s="31" t="str">
        <f aca="false">IF(Raw_Data!E41="","",Raw_Data!E41)</f>
        <v>Nutrition</v>
      </c>
      <c r="F41" s="31" t="str">
        <f aca="false">IF(Raw_Data!F41="","",Raw_Data!F41)</f>
        <v>Complaint</v>
      </c>
      <c r="G41" s="32" t="str">
        <f aca="false">IF(Raw_Data!G41="","",Raw_Data!G41)</f>
        <v>Non-Sensitive</v>
      </c>
      <c r="H41" s="32" t="str">
        <f aca="false">IFERROR(INDEX(Reference_Lists!$C$51:$C$57,MATCH(PROPER(TRIM(Raw_Data!H41)),Reference_Lists!$B$51:$B$57,0)),"UNMATCHED")</f>
        <v>Male</v>
      </c>
      <c r="I41" s="32" t="str">
        <f aca="false">IF(Raw_Data!I41="","",Raw_Data!I41)</f>
        <v>18-29</v>
      </c>
      <c r="J41" s="32" t="str">
        <f aca="false">IFERROR(INDEX(Reference_Lists!$C$58:$C$65,MATCH(PROPER(TRIM(Raw_Data!J41)),Reference_Lists!$B$58:$B$65,0)),"UNMATCHED")</f>
        <v>Referred</v>
      </c>
      <c r="K41" s="30" t="str">
        <f aca="false">IF(Raw_Data!K41="","",IF(ISTEXT(Raw_Data!K41),IFERROR(DATE(VALUE(RIGHT(TRIM(Raw_Data!K41),4)),VALUE(MID(TRIM(Raw_Data!K41),4,2)),VALUE(LEFT(TRIM(Raw_Data!K41),2))),"CHECK"),Raw_Data!K41))</f>
        <v/>
      </c>
      <c r="L41" s="33" t="str">
        <f aca="false">IF(Raw_Data!L41="","",Raw_Data!L41)</f>
        <v>Requesting a screening session closer to the northern shelter.</v>
      </c>
      <c r="M41" s="34" t="str">
        <f aca="false">IF(OR(B41="",K41=""),"",IFERROR(K41-B41,"CHECK"))</f>
        <v/>
      </c>
      <c r="N41" s="34" t="n">
        <f aca="false">IFERROR(INDEX(Reference_Lists!$H$13:$H$14,MATCH(G41,Reference_Lists!$G$13:$G$14,0)),"UNMATCHED")</f>
        <v>15</v>
      </c>
      <c r="O41" s="32" t="str">
        <f aca="false">IF(AND(J41="Closed",ISNUMBER(M41),ISNUMBER(N41),M41&gt;=0),M41&lt;=N41,"NOT ASSESSED")</f>
        <v>NOT ASSESSED</v>
      </c>
      <c r="P41" s="36" t="str">
        <f aca="false">Raw_Data!A41</f>
        <v>CFM-2026-0078</v>
      </c>
      <c r="Q41" s="37" t="str">
        <f aca="false">IFERROR(IF(OR($A41="",$P41=""),"MISSING ID",IF(EXACT($A41,$P41),"ALIGNED","MISMATCH")),"CHECK")</f>
        <v>ALIGNED</v>
      </c>
    </row>
    <row r="42" customFormat="false" ht="19.5" hidden="false" customHeight="true" outlineLevel="0" collapsed="false">
      <c r="A42" s="29" t="s">
        <v>132</v>
      </c>
      <c r="B42" s="30" t="n">
        <f aca="false">IF(Raw_Data!B42="","",IF(ISTEXT(Raw_Data!B42),IFERROR(DATE(VALUE(RIGHT(TRIM(Raw_Data!B42),4)),VALUE(MID(TRIM(Raw_Data!B42),4,2)),VALUE(LEFT(TRIM(Raw_Data!B42),2))),"CHECK"),Raw_Data!B42))</f>
        <v>46068</v>
      </c>
      <c r="C42" s="31" t="str">
        <f aca="false">IFERROR(INDEX(Reference_Lists!$C$23:$C$35,MATCH(PROPER(TRIM(Raw_Data!C42)),Reference_Lists!$B$23:$B$35,0)),"UNMATCHED")</f>
        <v>Community Focal Point</v>
      </c>
      <c r="D42" s="31" t="str">
        <f aca="false">IFERROR(INDEX(Reference_Lists!$C$36:$C$50,MATCH(PROPER(TRIM(Raw_Data!D42)),Reference_Lists!$B$36:$B$50,0)),"UNMATCHED")</f>
        <v>Nuseirat</v>
      </c>
      <c r="E42" s="31" t="str">
        <f aca="false">IF(Raw_Data!E42="","",Raw_Data!E42)</f>
        <v>Food Security</v>
      </c>
      <c r="F42" s="31" t="str">
        <f aca="false">IF(Raw_Data!F42="","",Raw_Data!F42)</f>
        <v>Appreciation</v>
      </c>
      <c r="G42" s="32" t="str">
        <f aca="false">IF(Raw_Data!G42="","",Raw_Data!G42)</f>
        <v>Non-Sensitive</v>
      </c>
      <c r="H42" s="32" t="str">
        <f aca="false">IFERROR(INDEX(Reference_Lists!$C$51:$C$57,MATCH(PROPER(TRIM(Raw_Data!H42)),Reference_Lists!$B$51:$B$57,0)),"UNMATCHED")</f>
        <v>Male</v>
      </c>
      <c r="I42" s="32" t="str">
        <f aca="false">IF(Raw_Data!I42="","",Raw_Data!I42)</f>
        <v>30-44</v>
      </c>
      <c r="J42" s="32" t="str">
        <f aca="false">IFERROR(INDEX(Reference_Lists!$C$58:$C$65,MATCH(PROPER(TRIM(Raw_Data!J42)),Reference_Lists!$B$58:$B$65,0)),"UNMATCHED")</f>
        <v>Open</v>
      </c>
      <c r="K42" s="30" t="str">
        <f aca="false">IF(Raw_Data!K42="","",IF(ISTEXT(Raw_Data!K42),IFERROR(DATE(VALUE(RIGHT(TRIM(Raw_Data!K42),4)),VALUE(MID(TRIM(Raw_Data!K42),4,2)),VALUE(LEFT(TRIM(Raw_Data!K42),2))),"CHECK"),Raw_Data!K42))</f>
        <v/>
      </c>
      <c r="L42" s="33" t="str">
        <f aca="false">IF(Raw_Data!L42="","",Raw_Data!L42)</f>
        <v>Asking how the beneficiary list for the next round is prepared.</v>
      </c>
      <c r="M42" s="34" t="str">
        <f aca="false">IF(OR(B42="",K42=""),"",IFERROR(K42-B42,"CHECK"))</f>
        <v/>
      </c>
      <c r="N42" s="34" t="n">
        <f aca="false">IFERROR(INDEX(Reference_Lists!$H$13:$H$14,MATCH(G42,Reference_Lists!$G$13:$G$14,0)),"UNMATCHED")</f>
        <v>15</v>
      </c>
      <c r="O42" s="32" t="str">
        <f aca="false">IF(AND(J42="Closed",ISNUMBER(M42),ISNUMBER(N42),M42&gt;=0),M42&lt;=N42,"NOT ASSESSED")</f>
        <v>NOT ASSESSED</v>
      </c>
      <c r="P42" s="36" t="str">
        <f aca="false">Raw_Data!A42</f>
        <v>CFM-2026-0345</v>
      </c>
      <c r="Q42" s="37" t="str">
        <f aca="false">IFERROR(IF(OR($A42="",$P42=""),"MISSING ID",IF(EXACT($A42,$P42),"ALIGNED","MISMATCH")),"CHECK")</f>
        <v>ALIGNED</v>
      </c>
    </row>
    <row r="43" customFormat="false" ht="19.5" hidden="false" customHeight="true" outlineLevel="0" collapsed="false">
      <c r="A43" s="29" t="s">
        <v>133</v>
      </c>
      <c r="B43" s="30" t="n">
        <f aca="false">IF(Raw_Data!B43="","",IF(ISTEXT(Raw_Data!B43),IFERROR(DATE(VALUE(RIGHT(TRIM(Raw_Data!B43),4)),VALUE(MID(TRIM(Raw_Data!B43),4,2)),VALUE(LEFT(TRIM(Raw_Data!B43),2))),"CHECK"),Raw_Data!B43))</f>
        <v>46117</v>
      </c>
      <c r="C43" s="31" t="str">
        <f aca="false">IFERROR(INDEX(Reference_Lists!$C$23:$C$35,MATCH(PROPER(TRIM(Raw_Data!C43)),Reference_Lists!$B$23:$B$35,0)),"UNMATCHED")</f>
        <v>Community Focal Point</v>
      </c>
      <c r="D43" s="31" t="str">
        <f aca="false">IFERROR(INDEX(Reference_Lists!$C$36:$C$50,MATCH(PROPER(TRIM(Raw_Data!D43)),Reference_Lists!$B$36:$B$50,0)),"UNMATCHED")</f>
        <v>Rafah</v>
      </c>
      <c r="E43" s="31" t="str">
        <f aca="false">IF(Raw_Data!E43="","",Raw_Data!E43)</f>
        <v>Nutrition</v>
      </c>
      <c r="F43" s="31" t="str">
        <f aca="false">IF(Raw_Data!F43="","",Raw_Data!F43)</f>
        <v>Appreciation</v>
      </c>
      <c r="G43" s="32" t="str">
        <f aca="false">IF(Raw_Data!G43="","",Raw_Data!G43)</f>
        <v>Non-Sensitive</v>
      </c>
      <c r="H43" s="32" t="str">
        <f aca="false">IFERROR(INDEX(Reference_Lists!$C$51:$C$57,MATCH(PROPER(TRIM(Raw_Data!H43)),Reference_Lists!$B$51:$B$57,0)),"UNMATCHED")</f>
        <v>Female</v>
      </c>
      <c r="I43" s="32" t="str">
        <f aca="false">IF(Raw_Data!I43="","",Raw_Data!I43)</f>
        <v>18-29</v>
      </c>
      <c r="J43" s="32" t="str">
        <f aca="false">IFERROR(INDEX(Reference_Lists!$C$58:$C$65,MATCH(PROPER(TRIM(Raw_Data!J43)),Reference_Lists!$B$58:$B$65,0)),"UNMATCHED")</f>
        <v>Closed</v>
      </c>
      <c r="K43" s="30" t="n">
        <f aca="false">IF(Raw_Data!K43="","",IF(ISTEXT(Raw_Data!K43),IFERROR(DATE(VALUE(RIGHT(TRIM(Raw_Data!K43),4)),VALUE(MID(TRIM(Raw_Data!K43),4,2)),VALUE(LEFT(TRIM(Raw_Data!K43),2))),"CHECK"),Raw_Data!K43))</f>
        <v>46142</v>
      </c>
      <c r="L43" s="33" t="str">
        <f aca="false">IF(Raw_Data!L43="","",Raw_Data!L43)</f>
        <v>Requesting a screening session closer to the northern shelter.</v>
      </c>
      <c r="M43" s="34" t="n">
        <f aca="false">IF(OR(B43="",K43=""),"",IFERROR(K43-B43,"CHECK"))</f>
        <v>25</v>
      </c>
      <c r="N43" s="34" t="n">
        <f aca="false">IFERROR(INDEX(Reference_Lists!$H$13:$H$14,MATCH(G43,Reference_Lists!$G$13:$G$14,0)),"UNMATCHED")</f>
        <v>15</v>
      </c>
      <c r="O43" s="35" t="b">
        <f aca="false">IF(AND(J43="Closed",ISNUMBER(M43),ISNUMBER(N43),M43&gt;=0),M43&lt;=N43,"NOT ASSESSED")</f>
        <v>0</v>
      </c>
      <c r="P43" s="36" t="str">
        <f aca="false">Raw_Data!A43</f>
        <v>CFM-2026-0435</v>
      </c>
      <c r="Q43" s="37" t="str">
        <f aca="false">IFERROR(IF(OR($A43="",$P43=""),"MISSING ID",IF(EXACT($A43,$P43),"ALIGNED","MISMATCH")),"CHECK")</f>
        <v>ALIGNED</v>
      </c>
    </row>
    <row r="44" customFormat="false" ht="19.5" hidden="false" customHeight="true" outlineLevel="0" collapsed="false">
      <c r="A44" s="29" t="s">
        <v>135</v>
      </c>
      <c r="B44" s="30" t="n">
        <f aca="false">IF(Raw_Data!B44="","",IF(ISTEXT(Raw_Data!B44),IFERROR(DATE(VALUE(RIGHT(TRIM(Raw_Data!B44),4)),VALUE(MID(TRIM(Raw_Data!B44),4,2)),VALUE(LEFT(TRIM(Raw_Data!B44),2))),"CHECK"),Raw_Data!B44))</f>
        <v>46034</v>
      </c>
      <c r="C44" s="31" t="str">
        <f aca="false">IFERROR(INDEX(Reference_Lists!$C$23:$C$35,MATCH(PROPER(TRIM(Raw_Data!C44)),Reference_Lists!$B$23:$B$35,0)),"UNMATCHED")</f>
        <v>Suggestion Box</v>
      </c>
      <c r="D44" s="31" t="str">
        <f aca="false">IFERROR(INDEX(Reference_Lists!$C$36:$C$50,MATCH(PROPER(TRIM(Raw_Data!D44)),Reference_Lists!$B$36:$B$50,0)),"UNMATCHED")</f>
        <v>Gaza City</v>
      </c>
      <c r="E44" s="31" t="str">
        <f aca="false">IF(Raw_Data!E44="","",Raw_Data!E44)</f>
        <v>Nutrition</v>
      </c>
      <c r="F44" s="31" t="str">
        <f aca="false">IF(Raw_Data!F44="","",Raw_Data!F44)</f>
        <v>Appreciation</v>
      </c>
      <c r="G44" s="32" t="str">
        <f aca="false">IF(Raw_Data!G44="","",Raw_Data!G44)</f>
        <v>Non-Sensitive</v>
      </c>
      <c r="H44" s="32" t="str">
        <f aca="false">IFERROR(INDEX(Reference_Lists!$C$51:$C$57,MATCH(PROPER(TRIM(Raw_Data!H44)),Reference_Lists!$B$51:$B$57,0)),"UNMATCHED")</f>
        <v>Male</v>
      </c>
      <c r="I44" s="32" t="str">
        <f aca="false">IF(Raw_Data!I44="","",Raw_Data!I44)</f>
        <v>60+</v>
      </c>
      <c r="J44" s="32" t="str">
        <f aca="false">IFERROR(INDEX(Reference_Lists!$C$58:$C$65,MATCH(PROPER(TRIM(Raw_Data!J44)),Reference_Lists!$B$58:$B$65,0)),"UNMATCHED")</f>
        <v>Closed</v>
      </c>
      <c r="K44" s="30" t="n">
        <f aca="false">IF(Raw_Data!K44="","",IF(ISTEXT(Raw_Data!K44),IFERROR(DATE(VALUE(RIGHT(TRIM(Raw_Data!K44),4)),VALUE(MID(TRIM(Raw_Data!K44),4,2)),VALUE(LEFT(TRIM(Raw_Data!K44),2))),"CHECK"),Raw_Data!K44))</f>
        <v>46054</v>
      </c>
      <c r="L44" s="33" t="str">
        <f aca="false">IF(Raw_Data!L44="","",Raw_Data!L44)</f>
        <v>Supplement was received but the guidance sheet was in English only.</v>
      </c>
      <c r="M44" s="34" t="n">
        <f aca="false">IF(OR(B44="",K44=""),"",IFERROR(K44-B44,"CHECK"))</f>
        <v>20</v>
      </c>
      <c r="N44" s="34" t="n">
        <f aca="false">IFERROR(INDEX(Reference_Lists!$H$13:$H$14,MATCH(G44,Reference_Lists!$G$13:$G$14,0)),"UNMATCHED")</f>
        <v>15</v>
      </c>
      <c r="O44" s="35" t="b">
        <f aca="false">IF(AND(J44="Closed",ISNUMBER(M44),ISNUMBER(N44),M44&gt;=0),M44&lt;=N44,"NOT ASSESSED")</f>
        <v>0</v>
      </c>
      <c r="P44" s="36" t="str">
        <f aca="false">Raw_Data!A44</f>
        <v>CFM-2026-0252</v>
      </c>
      <c r="Q44" s="37" t="str">
        <f aca="false">IFERROR(IF(OR($A44="",$P44=""),"MISSING ID",IF(EXACT($A44,$P44),"ALIGNED","MISMATCH")),"CHECK")</f>
        <v>ALIGNED</v>
      </c>
    </row>
    <row r="45" customFormat="false" ht="19.5" hidden="false" customHeight="true" outlineLevel="0" collapsed="false">
      <c r="A45" s="29" t="s">
        <v>137</v>
      </c>
      <c r="B45" s="30" t="n">
        <f aca="false">IF(Raw_Data!B45="","",IF(ISTEXT(Raw_Data!B45),IFERROR(DATE(VALUE(RIGHT(TRIM(Raw_Data!B45),4)),VALUE(MID(TRIM(Raw_Data!B45),4,2)),VALUE(LEFT(TRIM(Raw_Data!B45),2))),"CHECK"),Raw_Data!B45))</f>
        <v>46113</v>
      </c>
      <c r="C45" s="31" t="str">
        <f aca="false">IFERROR(INDEX(Reference_Lists!$C$23:$C$35,MATCH(PROPER(TRIM(Raw_Data!C45)),Reference_Lists!$B$23:$B$35,0)),"UNMATCHED")</f>
        <v>Phone Hotline</v>
      </c>
      <c r="D45" s="31" t="str">
        <f aca="false">IFERROR(INDEX(Reference_Lists!$C$36:$C$50,MATCH(PROPER(TRIM(Raw_Data!D45)),Reference_Lists!$B$36:$B$50,0)),"UNMATCHED")</f>
        <v>Jabalia</v>
      </c>
      <c r="E45" s="31" t="str">
        <f aca="false">IF(Raw_Data!E45="","",Raw_Data!E45)</f>
        <v>WASH</v>
      </c>
      <c r="F45" s="31" t="str">
        <f aca="false">IF(Raw_Data!F45="","",Raw_Data!F45)</f>
        <v>Complaint</v>
      </c>
      <c r="G45" s="32" t="str">
        <f aca="false">IF(Raw_Data!G45="","",Raw_Data!G45)</f>
        <v>Non-Sensitive</v>
      </c>
      <c r="H45" s="32" t="str">
        <f aca="false">IFERROR(INDEX(Reference_Lists!$C$51:$C$57,MATCH(PROPER(TRIM(Raw_Data!H45)),Reference_Lists!$B$51:$B$57,0)),"UNMATCHED")</f>
        <v>Female</v>
      </c>
      <c r="I45" s="32" t="str">
        <f aca="false">IF(Raw_Data!I45="","",Raw_Data!I45)</f>
        <v>60+</v>
      </c>
      <c r="J45" s="32" t="str">
        <f aca="false">IFERROR(INDEX(Reference_Lists!$C$58:$C$65,MATCH(PROPER(TRIM(Raw_Data!J45)),Reference_Lists!$B$58:$B$65,0)),"UNMATCHED")</f>
        <v>In Progress</v>
      </c>
      <c r="K45" s="30" t="str">
        <f aca="false">IF(Raw_Data!K45="","",IF(ISTEXT(Raw_Data!K45),IFERROR(DATE(VALUE(RIGHT(TRIM(Raw_Data!K45),4)),VALUE(MID(TRIM(Raw_Data!K45),4,2)),VALUE(LEFT(TRIM(Raw_Data!K45),2))),"CHECK"),Raw_Data!K45))</f>
        <v/>
      </c>
      <c r="L45" s="33" t="str">
        <f aca="false">IF(Raw_Data!L45="","",Raw_Data!L45)</f>
        <v>Latrine at the site block needs cleaning and lighting at night.</v>
      </c>
      <c r="M45" s="34" t="str">
        <f aca="false">IF(OR(B45="",K45=""),"",IFERROR(K45-B45,"CHECK"))</f>
        <v/>
      </c>
      <c r="N45" s="34" t="n">
        <f aca="false">IFERROR(INDEX(Reference_Lists!$H$13:$H$14,MATCH(G45,Reference_Lists!$G$13:$G$14,0)),"UNMATCHED")</f>
        <v>15</v>
      </c>
      <c r="O45" s="32" t="str">
        <f aca="false">IF(AND(J45="Closed",ISNUMBER(M45),ISNUMBER(N45),M45&gt;=0),M45&lt;=N45,"NOT ASSESSED")</f>
        <v>NOT ASSESSED</v>
      </c>
      <c r="P45" s="36" t="str">
        <f aca="false">Raw_Data!A45</f>
        <v>CFM-2026-0260</v>
      </c>
      <c r="Q45" s="37" t="str">
        <f aca="false">IFERROR(IF(OR($A45="",$P45=""),"MISSING ID",IF(EXACT($A45,$P45),"ALIGNED","MISMATCH")),"CHECK")</f>
        <v>ALIGNED</v>
      </c>
    </row>
    <row r="46" customFormat="false" ht="19.5" hidden="false" customHeight="true" outlineLevel="0" collapsed="false">
      <c r="A46" s="29" t="s">
        <v>139</v>
      </c>
      <c r="B46" s="30" t="n">
        <f aca="false">IF(Raw_Data!B46="","",IF(ISTEXT(Raw_Data!B46),IFERROR(DATE(VALUE(RIGHT(TRIM(Raw_Data!B46),4)),VALUE(MID(TRIM(Raw_Data!B46),4,2)),VALUE(LEFT(TRIM(Raw_Data!B46),2))),"CHECK"),Raw_Data!B46))</f>
        <v>46147</v>
      </c>
      <c r="C46" s="31" t="str">
        <f aca="false">IFERROR(INDEX(Reference_Lists!$C$23:$C$35,MATCH(PROPER(TRIM(Raw_Data!C46)),Reference_Lists!$B$23:$B$35,0)),"UNMATCHED")</f>
        <v>Phone Hotline</v>
      </c>
      <c r="D46" s="31" t="str">
        <f aca="false">IFERROR(INDEX(Reference_Lists!$C$36:$C$50,MATCH(PROPER(TRIM(Raw_Data!D46)),Reference_Lists!$B$36:$B$50,0)),"UNMATCHED")</f>
        <v>Rafah</v>
      </c>
      <c r="E46" s="31" t="str">
        <f aca="false">IF(Raw_Data!E46="","",Raw_Data!E46)</f>
        <v>Health</v>
      </c>
      <c r="F46" s="31" t="str">
        <f aca="false">IF(Raw_Data!F46="","",Raw_Data!F46)</f>
        <v>Request for Information</v>
      </c>
      <c r="G46" s="32" t="str">
        <f aca="false">IF(Raw_Data!G46="","",Raw_Data!G46)</f>
        <v/>
      </c>
      <c r="H46" s="32" t="str">
        <f aca="false">IFERROR(INDEX(Reference_Lists!$C$51:$C$57,MATCH(PROPER(TRIM(Raw_Data!H46)),Reference_Lists!$B$51:$B$57,0)),"UNMATCHED")</f>
        <v>Female</v>
      </c>
      <c r="I46" s="32" t="str">
        <f aca="false">IF(Raw_Data!I46="","",Raw_Data!I46)</f>
        <v>60+</v>
      </c>
      <c r="J46" s="32" t="str">
        <f aca="false">IFERROR(INDEX(Reference_Lists!$C$58:$C$65,MATCH(PROPER(TRIM(Raw_Data!J46)),Reference_Lists!$B$58:$B$65,0)),"UNMATCHED")</f>
        <v>Closed</v>
      </c>
      <c r="K46" s="30" t="n">
        <f aca="false">IF(Raw_Data!K46="","",IF(ISTEXT(Raw_Data!K46),IFERROR(DATE(VALUE(RIGHT(TRIM(Raw_Data!K46),4)),VALUE(MID(TRIM(Raw_Data!K46),4,2)),VALUE(LEFT(TRIM(Raw_Data!K46),2))),"CHECK"),Raw_Data!K46))</f>
        <v>46159</v>
      </c>
      <c r="L46" s="33" t="str">
        <f aca="false">IF(Raw_Data!L46="","",Raw_Data!L46)</f>
        <v>Waiting time at the mobile clinic is long during afternoon hours.</v>
      </c>
      <c r="M46" s="34" t="n">
        <f aca="false">IF(OR(B46="",K46=""),"",IFERROR(K46-B46,"CHECK"))</f>
        <v>12</v>
      </c>
      <c r="N46" s="34" t="str">
        <f aca="false">IFERROR(INDEX(Reference_Lists!$H$13:$H$14,MATCH(G46,Reference_Lists!$G$13:$G$14,0)),"UNMATCHED")</f>
        <v>UNMATCHED</v>
      </c>
      <c r="O46" s="32" t="str">
        <f aca="false">IF(AND(J46="Closed",ISNUMBER(M46),ISNUMBER(N46),M46&gt;=0),M46&lt;=N46,"NOT ASSESSED")</f>
        <v>NOT ASSESSED</v>
      </c>
      <c r="P46" s="36" t="str">
        <f aca="false">Raw_Data!A46</f>
        <v>CFM-2026-0068</v>
      </c>
      <c r="Q46" s="37" t="str">
        <f aca="false">IFERROR(IF(OR($A46="",$P46=""),"MISSING ID",IF(EXACT($A46,$P46),"ALIGNED","MISMATCH")),"CHECK")</f>
        <v>ALIGNED</v>
      </c>
    </row>
    <row r="47" customFormat="false" ht="19.5" hidden="false" customHeight="true" outlineLevel="0" collapsed="false">
      <c r="A47" s="29" t="s">
        <v>141</v>
      </c>
      <c r="B47" s="30" t="n">
        <f aca="false">IF(Raw_Data!B47="","",IF(ISTEXT(Raw_Data!B47),IFERROR(DATE(VALUE(RIGHT(TRIM(Raw_Data!B47),4)),VALUE(MID(TRIM(Raw_Data!B47),4,2)),VALUE(LEFT(TRIM(Raw_Data!B47),2))),"CHECK"),Raw_Data!B47))</f>
        <v>46074</v>
      </c>
      <c r="C47" s="31" t="str">
        <f aca="false">IFERROR(INDEX(Reference_Lists!$C$23:$C$35,MATCH(PROPER(TRIM(Raw_Data!C47)),Reference_Lists!$B$23:$B$35,0)),"UNMATCHED")</f>
        <v>Community Focal Point</v>
      </c>
      <c r="D47" s="31" t="str">
        <f aca="false">IFERROR(INDEX(Reference_Lists!$C$36:$C$50,MATCH(PROPER(TRIM(Raw_Data!D47)),Reference_Lists!$B$36:$B$50,0)),"UNMATCHED")</f>
        <v>Rafah</v>
      </c>
      <c r="E47" s="31" t="str">
        <f aca="false">IF(Raw_Data!E47="","",Raw_Data!E47)</f>
        <v>Nutrition</v>
      </c>
      <c r="F47" s="31" t="str">
        <f aca="false">IF(Raw_Data!F47="","",Raw_Data!F47)</f>
        <v>Complaint</v>
      </c>
      <c r="G47" s="32" t="str">
        <f aca="false">IF(Raw_Data!G47="","",Raw_Data!G47)</f>
        <v/>
      </c>
      <c r="H47" s="32" t="str">
        <f aca="false">IFERROR(INDEX(Reference_Lists!$C$51:$C$57,MATCH(PROPER(TRIM(Raw_Data!H47)),Reference_Lists!$B$51:$B$57,0)),"UNMATCHED")</f>
        <v>Female</v>
      </c>
      <c r="I47" s="32" t="str">
        <f aca="false">IF(Raw_Data!I47="","",Raw_Data!I47)</f>
        <v>18-29</v>
      </c>
      <c r="J47" s="32" t="str">
        <f aca="false">IFERROR(INDEX(Reference_Lists!$C$58:$C$65,MATCH(PROPER(TRIM(Raw_Data!J47)),Reference_Lists!$B$58:$B$65,0)),"UNMATCHED")</f>
        <v>Closed</v>
      </c>
      <c r="K47" s="30" t="n">
        <f aca="false">IF(Raw_Data!K47="","",IF(ISTEXT(Raw_Data!K47),IFERROR(DATE(VALUE(RIGHT(TRIM(Raw_Data!K47),4)),VALUE(MID(TRIM(Raw_Data!K47),4,2)),VALUE(LEFT(TRIM(Raw_Data!K47),2))),"CHECK"),Raw_Data!K47))</f>
        <v>46080</v>
      </c>
      <c r="L47" s="33" t="str">
        <f aca="false">IF(Raw_Data!L47="","",Raw_Data!L47)</f>
        <v>Asking whether children above five are included in the screening.</v>
      </c>
      <c r="M47" s="34" t="n">
        <f aca="false">IF(OR(B47="",K47=""),"",IFERROR(K47-B47,"CHECK"))</f>
        <v>6</v>
      </c>
      <c r="N47" s="34" t="str">
        <f aca="false">IFERROR(INDEX(Reference_Lists!$H$13:$H$14,MATCH(G47,Reference_Lists!$G$13:$G$14,0)),"UNMATCHED")</f>
        <v>UNMATCHED</v>
      </c>
      <c r="O47" s="32" t="str">
        <f aca="false">IF(AND(J47="Closed",ISNUMBER(M47),ISNUMBER(N47),M47&gt;=0),M47&lt;=N47,"NOT ASSESSED")</f>
        <v>NOT ASSESSED</v>
      </c>
      <c r="P47" s="36" t="str">
        <f aca="false">Raw_Data!A47</f>
        <v>CFM-2026-0454</v>
      </c>
      <c r="Q47" s="37" t="str">
        <f aca="false">IFERROR(IF(OR($A47="",$P47=""),"MISSING ID",IF(EXACT($A47,$P47),"ALIGNED","MISMATCH")),"CHECK")</f>
        <v>ALIGNED</v>
      </c>
    </row>
    <row r="48" customFormat="false" ht="19.5" hidden="false" customHeight="true" outlineLevel="0" collapsed="false">
      <c r="A48" s="29" t="s">
        <v>142</v>
      </c>
      <c r="B48" s="30" t="n">
        <f aca="false">IF(Raw_Data!B48="","",IF(ISTEXT(Raw_Data!B48),IFERROR(DATE(VALUE(RIGHT(TRIM(Raw_Data!B48),4)),VALUE(MID(TRIM(Raw_Data!B48),4,2)),VALUE(LEFT(TRIM(Raw_Data!B48),2))),"CHECK"),Raw_Data!B48))</f>
        <v>46212</v>
      </c>
      <c r="C48" s="31" t="str">
        <f aca="false">IFERROR(INDEX(Reference_Lists!$C$23:$C$35,MATCH(PROPER(TRIM(Raw_Data!C48)),Reference_Lists!$B$23:$B$35,0)),"UNMATCHED")</f>
        <v>Help Desk</v>
      </c>
      <c r="D48" s="31" t="str">
        <f aca="false">IFERROR(INDEX(Reference_Lists!$C$36:$C$50,MATCH(PROPER(TRIM(Raw_Data!D48)),Reference_Lists!$B$36:$B$50,0)),"UNMATCHED")</f>
        <v>Gaza City</v>
      </c>
      <c r="E48" s="31" t="str">
        <f aca="false">IF(Raw_Data!E48="","",Raw_Data!E48)</f>
        <v>Health</v>
      </c>
      <c r="F48" s="31" t="str">
        <f aca="false">IF(Raw_Data!F48="","",Raw_Data!F48)</f>
        <v>Request for Information</v>
      </c>
      <c r="G48" s="32" t="str">
        <f aca="false">IF(Raw_Data!G48="","",Raw_Data!G48)</f>
        <v>Non-Sensitive</v>
      </c>
      <c r="H48" s="32" t="str">
        <f aca="false">IFERROR(INDEX(Reference_Lists!$C$51:$C$57,MATCH(PROPER(TRIM(Raw_Data!H48)),Reference_Lists!$B$51:$B$57,0)),"UNMATCHED")</f>
        <v>Male</v>
      </c>
      <c r="I48" s="32" t="str">
        <f aca="false">IF(Raw_Data!I48="","",Raw_Data!I48)</f>
        <v>30-44</v>
      </c>
      <c r="J48" s="32" t="str">
        <f aca="false">IFERROR(INDEX(Reference_Lists!$C$58:$C$65,MATCH(PROPER(TRIM(Raw_Data!J48)),Reference_Lists!$B$58:$B$65,0)),"UNMATCHED")</f>
        <v>In Progress</v>
      </c>
      <c r="K48" s="30" t="str">
        <f aca="false">IF(Raw_Data!K48="","",IF(ISTEXT(Raw_Data!K48),IFERROR(DATE(VALUE(RIGHT(TRIM(Raw_Data!K48),4)),VALUE(MID(TRIM(Raw_Data!K48),4,2)),VALUE(LEFT(TRIM(Raw_Data!K48),2))),"CHECK"),Raw_Data!K48))</f>
        <v/>
      </c>
      <c r="L48" s="33" t="str">
        <f aca="false">IF(Raw_Data!L48="","",Raw_Data!L48)</f>
        <v>Waiting time at the mobile clinic is long during afternoon hours.</v>
      </c>
      <c r="M48" s="34" t="str">
        <f aca="false">IF(OR(B48="",K48=""),"",IFERROR(K48-B48,"CHECK"))</f>
        <v/>
      </c>
      <c r="N48" s="34" t="n">
        <f aca="false">IFERROR(INDEX(Reference_Lists!$H$13:$H$14,MATCH(G48,Reference_Lists!$G$13:$G$14,0)),"UNMATCHED")</f>
        <v>15</v>
      </c>
      <c r="O48" s="32" t="str">
        <f aca="false">IF(AND(J48="Closed",ISNUMBER(M48),ISNUMBER(N48),M48&gt;=0),M48&lt;=N48,"NOT ASSESSED")</f>
        <v>NOT ASSESSED</v>
      </c>
      <c r="P48" s="36" t="str">
        <f aca="false">Raw_Data!A48</f>
        <v>CFM-2026-0316</v>
      </c>
      <c r="Q48" s="37" t="str">
        <f aca="false">IFERROR(IF(OR($A48="",$P48=""),"MISSING ID",IF(EXACT($A48,$P48),"ALIGNED","MISMATCH")),"CHECK")</f>
        <v>ALIGNED</v>
      </c>
    </row>
    <row r="49" customFormat="false" ht="19.5" hidden="false" customHeight="true" outlineLevel="0" collapsed="false">
      <c r="A49" s="29" t="s">
        <v>143</v>
      </c>
      <c r="B49" s="30" t="n">
        <f aca="false">IF(Raw_Data!B49="","",IF(ISTEXT(Raw_Data!B49),IFERROR(DATE(VALUE(RIGHT(TRIM(Raw_Data!B49),4)),VALUE(MID(TRIM(Raw_Data!B49),4,2)),VALUE(LEFT(TRIM(Raw_Data!B49),2))),"CHECK"),Raw_Data!B49))</f>
        <v>46085</v>
      </c>
      <c r="C49" s="31" t="str">
        <f aca="false">IFERROR(INDEX(Reference_Lists!$C$23:$C$35,MATCH(PROPER(TRIM(Raw_Data!C49)),Reference_Lists!$B$23:$B$35,0)),"UNMATCHED")</f>
        <v>Phone Hotline</v>
      </c>
      <c r="D49" s="31" t="str">
        <f aca="false">IFERROR(INDEX(Reference_Lists!$C$36:$C$50,MATCH(PROPER(TRIM(Raw_Data!D49)),Reference_Lists!$B$36:$B$50,0)),"UNMATCHED")</f>
        <v>Gaza City</v>
      </c>
      <c r="E49" s="31" t="str">
        <f aca="false">IF(Raw_Data!E49="","",Raw_Data!E49)</f>
        <v>Health</v>
      </c>
      <c r="F49" s="31" t="str">
        <f aca="false">IF(Raw_Data!F49="","",Raw_Data!F49)</f>
        <v>Request for Information</v>
      </c>
      <c r="G49" s="32" t="str">
        <f aca="false">IF(Raw_Data!G49="","",Raw_Data!G49)</f>
        <v>Non-Sensitive</v>
      </c>
      <c r="H49" s="32" t="str">
        <f aca="false">IFERROR(INDEX(Reference_Lists!$C$51:$C$57,MATCH(PROPER(TRIM(Raw_Data!H49)),Reference_Lists!$B$51:$B$57,0)),"UNMATCHED")</f>
        <v>Male</v>
      </c>
      <c r="I49" s="32" t="str">
        <f aca="false">IF(Raw_Data!I49="","",Raw_Data!I49)</f>
        <v>18-29</v>
      </c>
      <c r="J49" s="32" t="str">
        <f aca="false">IFERROR(INDEX(Reference_Lists!$C$58:$C$65,MATCH(PROPER(TRIM(Raw_Data!J49)),Reference_Lists!$B$58:$B$65,0)),"UNMATCHED")</f>
        <v>In Progress</v>
      </c>
      <c r="K49" s="30" t="str">
        <f aca="false">IF(Raw_Data!K49="","",IF(ISTEXT(Raw_Data!K49),IFERROR(DATE(VALUE(RIGHT(TRIM(Raw_Data!K49),4)),VALUE(MID(TRIM(Raw_Data!K49),4,2)),VALUE(LEFT(TRIM(Raw_Data!K49),2))),"CHECK"),Raw_Data!K49))</f>
        <v/>
      </c>
      <c r="L49" s="33" t="str">
        <f aca="false">IF(Raw_Data!L49="","",Raw_Data!L49)</f>
        <v>Clinic opening hours are not clear to the community.</v>
      </c>
      <c r="M49" s="34" t="str">
        <f aca="false">IF(OR(B49="",K49=""),"",IFERROR(K49-B49,"CHECK"))</f>
        <v/>
      </c>
      <c r="N49" s="34" t="n">
        <f aca="false">IFERROR(INDEX(Reference_Lists!$H$13:$H$14,MATCH(G49,Reference_Lists!$G$13:$G$14,0)),"UNMATCHED")</f>
        <v>15</v>
      </c>
      <c r="O49" s="32" t="str">
        <f aca="false">IF(AND(J49="Closed",ISNUMBER(M49),ISNUMBER(N49),M49&gt;=0),M49&lt;=N49,"NOT ASSESSED")</f>
        <v>NOT ASSESSED</v>
      </c>
      <c r="P49" s="36" t="str">
        <f aca="false">Raw_Data!A49</f>
        <v>CFM-2026-0055</v>
      </c>
      <c r="Q49" s="37" t="str">
        <f aca="false">IFERROR(IF(OR($A49="",$P49=""),"MISSING ID",IF(EXACT($A49,$P49),"ALIGNED","MISMATCH")),"CHECK")</f>
        <v>ALIGNED</v>
      </c>
    </row>
    <row r="50" customFormat="false" ht="19.5" hidden="false" customHeight="true" outlineLevel="0" collapsed="false">
      <c r="A50" s="29" t="s">
        <v>145</v>
      </c>
      <c r="B50" s="30" t="n">
        <f aca="false">IF(Raw_Data!B50="","",IF(ISTEXT(Raw_Data!B50),IFERROR(DATE(VALUE(RIGHT(TRIM(Raw_Data!B50),4)),VALUE(MID(TRIM(Raw_Data!B50),4,2)),VALUE(LEFT(TRIM(Raw_Data!B50),2))),"CHECK"),Raw_Data!B50))</f>
        <v>46161</v>
      </c>
      <c r="C50" s="31" t="str">
        <f aca="false">IFERROR(INDEX(Reference_Lists!$C$23:$C$35,MATCH(PROPER(TRIM(Raw_Data!C50)),Reference_Lists!$B$23:$B$35,0)),"UNMATCHED")</f>
        <v>Help Desk</v>
      </c>
      <c r="D50" s="31" t="str">
        <f aca="false">IFERROR(INDEX(Reference_Lists!$C$36:$C$50,MATCH(PROPER(TRIM(Raw_Data!D50)),Reference_Lists!$B$36:$B$50,0)),"UNMATCHED")</f>
        <v>Gaza City</v>
      </c>
      <c r="E50" s="31" t="str">
        <f aca="false">IF(Raw_Data!E50="","",Raw_Data!E50)</f>
        <v>Shelter</v>
      </c>
      <c r="F50" s="31" t="str">
        <f aca="false">IF(Raw_Data!F50="","",Raw_Data!F50)</f>
        <v>Appreciation</v>
      </c>
      <c r="G50" s="32" t="str">
        <f aca="false">IF(Raw_Data!G50="","",Raw_Data!G50)</f>
        <v>Non-Sensitive</v>
      </c>
      <c r="H50" s="32" t="str">
        <f aca="false">IFERROR(INDEX(Reference_Lists!$C$51:$C$57,MATCH(PROPER(TRIM(Raw_Data!H50)),Reference_Lists!$B$51:$B$57,0)),"UNMATCHED")</f>
        <v>Female</v>
      </c>
      <c r="I50" s="32" t="str">
        <f aca="false">IF(Raw_Data!I50="","",Raw_Data!I50)</f>
        <v>18-29</v>
      </c>
      <c r="J50" s="32" t="str">
        <f aca="false">IFERROR(INDEX(Reference_Lists!$C$58:$C$65,MATCH(PROPER(TRIM(Raw_Data!J50)),Reference_Lists!$B$58:$B$65,0)),"UNMATCHED")</f>
        <v>Open</v>
      </c>
      <c r="K50" s="30" t="str">
        <f aca="false">IF(Raw_Data!K50="","",IF(ISTEXT(Raw_Data!K50),IFERROR(DATE(VALUE(RIGHT(TRIM(Raw_Data!K50),4)),VALUE(MID(TRIM(Raw_Data!K50),4,2)),VALUE(LEFT(TRIM(Raw_Data!K50),2))),"CHECK"),Raw_Data!K50))</f>
        <v/>
      </c>
      <c r="L50" s="33" t="str">
        <f aca="false">IF(Raw_Data!L50="","",Raw_Data!L50)</f>
        <v>Requesting information about the criteria for shelter repair kits.</v>
      </c>
      <c r="M50" s="34" t="str">
        <f aca="false">IF(OR(B50="",K50=""),"",IFERROR(K50-B50,"CHECK"))</f>
        <v/>
      </c>
      <c r="N50" s="34" t="n">
        <f aca="false">IFERROR(INDEX(Reference_Lists!$H$13:$H$14,MATCH(G50,Reference_Lists!$G$13:$G$14,0)),"UNMATCHED")</f>
        <v>15</v>
      </c>
      <c r="O50" s="32" t="str">
        <f aca="false">IF(AND(J50="Closed",ISNUMBER(M50),ISNUMBER(N50),M50&gt;=0),M50&lt;=N50,"NOT ASSESSED")</f>
        <v>NOT ASSESSED</v>
      </c>
      <c r="P50" s="36" t="str">
        <f aca="false">Raw_Data!A50</f>
        <v>CFM-2026-0205</v>
      </c>
      <c r="Q50" s="37" t="str">
        <f aca="false">IFERROR(IF(OR($A50="",$P50=""),"MISSING ID",IF(EXACT($A50,$P50),"ALIGNED","MISMATCH")),"CHECK")</f>
        <v>ALIGNED</v>
      </c>
    </row>
    <row r="51" customFormat="false" ht="19.5" hidden="false" customHeight="true" outlineLevel="0" collapsed="false">
      <c r="A51" s="29" t="s">
        <v>146</v>
      </c>
      <c r="B51" s="30" t="n">
        <f aca="false">IF(Raw_Data!B51="","",IF(ISTEXT(Raw_Data!B51),IFERROR(DATE(VALUE(RIGHT(TRIM(Raw_Data!B51),4)),VALUE(MID(TRIM(Raw_Data!B51),4,2)),VALUE(LEFT(TRIM(Raw_Data!B51),2))),"CHECK"),Raw_Data!B51))</f>
        <v>46086</v>
      </c>
      <c r="C51" s="31" t="str">
        <f aca="false">IFERROR(INDEX(Reference_Lists!$C$23:$C$35,MATCH(PROPER(TRIM(Raw_Data!C51)),Reference_Lists!$B$23:$B$35,0)),"UNMATCHED")</f>
        <v>In-Person at Distribution</v>
      </c>
      <c r="D51" s="31" t="str">
        <f aca="false">IFERROR(INDEX(Reference_Lists!$C$36:$C$50,MATCH(PROPER(TRIM(Raw_Data!D51)),Reference_Lists!$B$36:$B$50,0)),"UNMATCHED")</f>
        <v>Khan Yunis</v>
      </c>
      <c r="E51" s="31" t="str">
        <f aca="false">IF(Raw_Data!E51="","",Raw_Data!E51)</f>
        <v>Shelter</v>
      </c>
      <c r="F51" s="31" t="str">
        <f aca="false">IF(Raw_Data!F51="","",Raw_Data!F51)</f>
        <v>Complaint</v>
      </c>
      <c r="G51" s="32" t="str">
        <f aca="false">IF(Raw_Data!G51="","",Raw_Data!G51)</f>
        <v>Non-Sensitive</v>
      </c>
      <c r="H51" s="32" t="str">
        <f aca="false">IFERROR(INDEX(Reference_Lists!$C$51:$C$57,MATCH(PROPER(TRIM(Raw_Data!H51)),Reference_Lists!$B$51:$B$57,0)),"UNMATCHED")</f>
        <v>Male</v>
      </c>
      <c r="I51" s="32" t="str">
        <f aca="false">IF(Raw_Data!I51="","",Raw_Data!I51)</f>
        <v>45-59</v>
      </c>
      <c r="J51" s="32" t="str">
        <f aca="false">IFERROR(INDEX(Reference_Lists!$C$58:$C$65,MATCH(PROPER(TRIM(Raw_Data!J51)),Reference_Lists!$B$58:$B$65,0)),"UNMATCHED")</f>
        <v>Closed</v>
      </c>
      <c r="K51" s="30" t="n">
        <f aca="false">IF(Raw_Data!K51="","",IF(ISTEXT(Raw_Data!K51),IFERROR(DATE(VALUE(RIGHT(TRIM(Raw_Data!K51),4)),VALUE(MID(TRIM(Raw_Data!K51),4,2)),VALUE(LEFT(TRIM(Raw_Data!K51),2))),"CHECK"),Raw_Data!K51))</f>
        <v>46110</v>
      </c>
      <c r="L51" s="33" t="str">
        <f aca="false">IF(Raw_Data!L51="","",Raw_Data!L51)</f>
        <v/>
      </c>
      <c r="M51" s="34" t="n">
        <f aca="false">IF(OR(B51="",K51=""),"",IFERROR(K51-B51,"CHECK"))</f>
        <v>24</v>
      </c>
      <c r="N51" s="34" t="n">
        <f aca="false">IFERROR(INDEX(Reference_Lists!$H$13:$H$14,MATCH(G51,Reference_Lists!$G$13:$G$14,0)),"UNMATCHED")</f>
        <v>15</v>
      </c>
      <c r="O51" s="35" t="b">
        <f aca="false">IF(AND(J51="Closed",ISNUMBER(M51),ISNUMBER(N51),M51&gt;=0),M51&lt;=N51,"NOT ASSESSED")</f>
        <v>0</v>
      </c>
      <c r="P51" s="36" t="str">
        <f aca="false">Raw_Data!A51</f>
        <v>CFM-2026-0125</v>
      </c>
      <c r="Q51" s="37" t="str">
        <f aca="false">IFERROR(IF(OR($A51="",$P51=""),"MISSING ID",IF(EXACT($A51,$P51),"ALIGNED","MISMATCH")),"CHECK")</f>
        <v>ALIGNED</v>
      </c>
    </row>
    <row r="52" customFormat="false" ht="19.5" hidden="false" customHeight="true" outlineLevel="0" collapsed="false">
      <c r="A52" s="29" t="s">
        <v>147</v>
      </c>
      <c r="B52" s="30" t="n">
        <f aca="false">IF(Raw_Data!B52="","",IF(ISTEXT(Raw_Data!B52),IFERROR(DATE(VALUE(RIGHT(TRIM(Raw_Data!B52),4)),VALUE(MID(TRIM(Raw_Data!B52),4,2)),VALUE(LEFT(TRIM(Raw_Data!B52),2))),"CHECK"),Raw_Data!B52))</f>
        <v>46056</v>
      </c>
      <c r="C52" s="31" t="str">
        <f aca="false">IFERROR(INDEX(Reference_Lists!$C$23:$C$35,MATCH(PROPER(TRIM(Raw_Data!C52)),Reference_Lists!$B$23:$B$35,0)),"UNMATCHED")</f>
        <v>Phone Hotline</v>
      </c>
      <c r="D52" s="31" t="str">
        <f aca="false">IFERROR(INDEX(Reference_Lists!$C$36:$C$50,MATCH(PROPER(TRIM(Raw_Data!D52)),Reference_Lists!$B$36:$B$50,0)),"UNMATCHED")</f>
        <v>Khan Yunis</v>
      </c>
      <c r="E52" s="31" t="str">
        <f aca="false">IF(Raw_Data!E52="","",Raw_Data!E52)</f>
        <v>Food Security</v>
      </c>
      <c r="F52" s="31" t="str">
        <f aca="false">IF(Raw_Data!F52="","",Raw_Data!F52)</f>
        <v>Request for Information</v>
      </c>
      <c r="G52" s="32" t="str">
        <f aca="false">IF(Raw_Data!G52="","",Raw_Data!G52)</f>
        <v>Non-Sensitive</v>
      </c>
      <c r="H52" s="32" t="str">
        <f aca="false">IFERROR(INDEX(Reference_Lists!$C$51:$C$57,MATCH(PROPER(TRIM(Raw_Data!H52)),Reference_Lists!$B$51:$B$57,0)),"UNMATCHED")</f>
        <v>Male</v>
      </c>
      <c r="I52" s="32" t="str">
        <f aca="false">IF(Raw_Data!I52="","",Raw_Data!I52)</f>
        <v>30-44</v>
      </c>
      <c r="J52" s="32" t="str">
        <f aca="false">IFERROR(INDEX(Reference_Lists!$C$58:$C$65,MATCH(PROPER(TRIM(Raw_Data!J52)),Reference_Lists!$B$58:$B$65,0)),"UNMATCHED")</f>
        <v>Closed</v>
      </c>
      <c r="K52" s="30" t="n">
        <f aca="false">IF(Raw_Data!K52="","",IF(ISTEXT(Raw_Data!K52),IFERROR(DATE(VALUE(RIGHT(TRIM(Raw_Data!K52),4)),VALUE(MID(TRIM(Raw_Data!K52),4,2)),VALUE(LEFT(TRIM(Raw_Data!K52),2))),"CHECK"),Raw_Data!K52))</f>
        <v>46080</v>
      </c>
      <c r="L52" s="33" t="str">
        <f aca="false">IF(Raw_Data!L52="","",Raw_Data!L52)</f>
        <v>Thanking the team for organising the last distribution well.</v>
      </c>
      <c r="M52" s="34" t="n">
        <f aca="false">IF(OR(B52="",K52=""),"",IFERROR(K52-B52,"CHECK"))</f>
        <v>24</v>
      </c>
      <c r="N52" s="34" t="n">
        <f aca="false">IFERROR(INDEX(Reference_Lists!$H$13:$H$14,MATCH(G52,Reference_Lists!$G$13:$G$14,0)),"UNMATCHED")</f>
        <v>15</v>
      </c>
      <c r="O52" s="35" t="b">
        <f aca="false">IF(AND(J52="Closed",ISNUMBER(M52),ISNUMBER(N52),M52&gt;=0),M52&lt;=N52,"NOT ASSESSED")</f>
        <v>0</v>
      </c>
      <c r="P52" s="36" t="str">
        <f aca="false">Raw_Data!A52</f>
        <v>CFM-2026-0169</v>
      </c>
      <c r="Q52" s="37" t="str">
        <f aca="false">IFERROR(IF(OR($A52="",$P52=""),"MISSING ID",IF(EXACT($A52,$P52),"ALIGNED","MISMATCH")),"CHECK")</f>
        <v>ALIGNED</v>
      </c>
    </row>
    <row r="53" customFormat="false" ht="19.5" hidden="false" customHeight="true" outlineLevel="0" collapsed="false">
      <c r="A53" s="29" t="s">
        <v>148</v>
      </c>
      <c r="B53" s="30" t="n">
        <f aca="false">IF(Raw_Data!B53="","",IF(ISTEXT(Raw_Data!B53),IFERROR(DATE(VALUE(RIGHT(TRIM(Raw_Data!B53),4)),VALUE(MID(TRIM(Raw_Data!B53),4,2)),VALUE(LEFT(TRIM(Raw_Data!B53),2))),"CHECK"),Raw_Data!B53))</f>
        <v>46143</v>
      </c>
      <c r="C53" s="31" t="str">
        <f aca="false">IFERROR(INDEX(Reference_Lists!$C$23:$C$35,MATCH(PROPER(TRIM(Raw_Data!C53)),Reference_Lists!$B$23:$B$35,0)),"UNMATCHED")</f>
        <v>Community Focal Point</v>
      </c>
      <c r="D53" s="31" t="str">
        <f aca="false">IFERROR(INDEX(Reference_Lists!$C$36:$C$50,MATCH(PROPER(TRIM(Raw_Data!D53)),Reference_Lists!$B$36:$B$50,0)),"UNMATCHED")</f>
        <v>Nuseirat</v>
      </c>
      <c r="E53" s="31" t="str">
        <f aca="false">IF(Raw_Data!E53="","",Raw_Data!E53)</f>
        <v/>
      </c>
      <c r="F53" s="31" t="str">
        <f aca="false">IF(Raw_Data!F53="","",Raw_Data!F53)</f>
        <v>Request for Information</v>
      </c>
      <c r="G53" s="32" t="str">
        <f aca="false">IF(Raw_Data!G53="","",Raw_Data!G53)</f>
        <v>Non-Sensitive</v>
      </c>
      <c r="H53" s="32" t="str">
        <f aca="false">IFERROR(INDEX(Reference_Lists!$C$51:$C$57,MATCH(PROPER(TRIM(Raw_Data!H53)),Reference_Lists!$B$51:$B$57,0)),"UNMATCHED")</f>
        <v>Male</v>
      </c>
      <c r="I53" s="32" t="str">
        <f aca="false">IF(Raw_Data!I53="","",Raw_Data!I53)</f>
        <v>18-29</v>
      </c>
      <c r="J53" s="32" t="str">
        <f aca="false">IFERROR(INDEX(Reference_Lists!$C$58:$C$65,MATCH(PROPER(TRIM(Raw_Data!J53)),Reference_Lists!$B$58:$B$65,0)),"UNMATCHED")</f>
        <v>Closed</v>
      </c>
      <c r="K53" s="30" t="n">
        <f aca="false">IF(Raw_Data!K53="","",IF(ISTEXT(Raw_Data!K53),IFERROR(DATE(VALUE(RIGHT(TRIM(Raw_Data!K53),4)),VALUE(MID(TRIM(Raw_Data!K53),4,2)),VALUE(LEFT(TRIM(Raw_Data!K53),2))),"CHECK"),Raw_Data!K53))</f>
        <v>46150</v>
      </c>
      <c r="L53" s="33" t="str">
        <f aca="false">IF(Raw_Data!L53="","",Raw_Data!L53)</f>
        <v>Latrine at the site block needs cleaning and lighting at night.</v>
      </c>
      <c r="M53" s="34" t="n">
        <f aca="false">IF(OR(B53="",K53=""),"",IFERROR(K53-B53,"CHECK"))</f>
        <v>7</v>
      </c>
      <c r="N53" s="34" t="n">
        <f aca="false">IFERROR(INDEX(Reference_Lists!$H$13:$H$14,MATCH(G53,Reference_Lists!$G$13:$G$14,0)),"UNMATCHED")</f>
        <v>15</v>
      </c>
      <c r="O53" s="35" t="b">
        <f aca="false">IF(AND(J53="Closed",ISNUMBER(M53),ISNUMBER(N53),M53&gt;=0),M53&lt;=N53,"NOT ASSESSED")</f>
        <v>1</v>
      </c>
      <c r="P53" s="36" t="str">
        <f aca="false">Raw_Data!A53</f>
        <v>CFM-2026-0405</v>
      </c>
      <c r="Q53" s="37" t="str">
        <f aca="false">IFERROR(IF(OR($A53="",$P53=""),"MISSING ID",IF(EXACT($A53,$P53),"ALIGNED","MISMATCH")),"CHECK")</f>
        <v>ALIGNED</v>
      </c>
    </row>
    <row r="54" customFormat="false" ht="19.5" hidden="false" customHeight="true" outlineLevel="0" collapsed="false">
      <c r="A54" s="29" t="s">
        <v>149</v>
      </c>
      <c r="B54" s="30" t="n">
        <f aca="false">IF(Raw_Data!B54="","",IF(ISTEXT(Raw_Data!B54),IFERROR(DATE(VALUE(RIGHT(TRIM(Raw_Data!B54),4)),VALUE(MID(TRIM(Raw_Data!B54),4,2)),VALUE(LEFT(TRIM(Raw_Data!B54),2))),"CHECK"),Raw_Data!B54))</f>
        <v>46159</v>
      </c>
      <c r="C54" s="31" t="str">
        <f aca="false">IFERROR(INDEX(Reference_Lists!$C$23:$C$35,MATCH(PROPER(TRIM(Raw_Data!C54)),Reference_Lists!$B$23:$B$35,0)),"UNMATCHED")</f>
        <v>In-Person at Distribution</v>
      </c>
      <c r="D54" s="31" t="str">
        <f aca="false">IFERROR(INDEX(Reference_Lists!$C$36:$C$50,MATCH(PROPER(TRIM(Raw_Data!D54)),Reference_Lists!$B$36:$B$50,0)),"UNMATCHED")</f>
        <v>Deir al-Balah</v>
      </c>
      <c r="E54" s="31" t="str">
        <f aca="false">IF(Raw_Data!E54="","",Raw_Data!E54)</f>
        <v>Shelter</v>
      </c>
      <c r="F54" s="31" t="str">
        <f aca="false">IF(Raw_Data!F54="","",Raw_Data!F54)</f>
        <v>Suggestion</v>
      </c>
      <c r="G54" s="32" t="str">
        <f aca="false">IF(Raw_Data!G54="","",Raw_Data!G54)</f>
        <v>Non-Sensitive</v>
      </c>
      <c r="H54" s="32" t="str">
        <f aca="false">IFERROR(INDEX(Reference_Lists!$C$51:$C$57,MATCH(PROPER(TRIM(Raw_Data!H54)),Reference_Lists!$B$51:$B$57,0)),"UNMATCHED")</f>
        <v>Male</v>
      </c>
      <c r="I54" s="32" t="str">
        <f aca="false">IF(Raw_Data!I54="","",Raw_Data!I54)</f>
        <v>30-44</v>
      </c>
      <c r="J54" s="32" t="str">
        <f aca="false">IFERROR(INDEX(Reference_Lists!$C$58:$C$65,MATCH(PROPER(TRIM(Raw_Data!J54)),Reference_Lists!$B$58:$B$65,0)),"UNMATCHED")</f>
        <v>Closed</v>
      </c>
      <c r="K54" s="30" t="n">
        <f aca="false">IF(Raw_Data!K54="","",IF(ISTEXT(Raw_Data!K54),IFERROR(DATE(VALUE(RIGHT(TRIM(Raw_Data!K54),4)),VALUE(MID(TRIM(Raw_Data!K54),4,2)),VALUE(LEFT(TRIM(Raw_Data!K54),2))),"CHECK"),Raw_Data!K54))</f>
        <v>46175</v>
      </c>
      <c r="L54" s="33" t="str">
        <f aca="false">IF(Raw_Data!L54="","",Raw_Data!L54)</f>
        <v>Tarpaulin received is torn and does not cover the shelter area.</v>
      </c>
      <c r="M54" s="34" t="n">
        <f aca="false">IF(OR(B54="",K54=""),"",IFERROR(K54-B54,"CHECK"))</f>
        <v>16</v>
      </c>
      <c r="N54" s="34" t="n">
        <f aca="false">IFERROR(INDEX(Reference_Lists!$H$13:$H$14,MATCH(G54,Reference_Lists!$G$13:$G$14,0)),"UNMATCHED")</f>
        <v>15</v>
      </c>
      <c r="O54" s="35" t="b">
        <f aca="false">IF(AND(J54="Closed",ISNUMBER(M54),ISNUMBER(N54),M54&gt;=0),M54&lt;=N54,"NOT ASSESSED")</f>
        <v>0</v>
      </c>
      <c r="P54" s="36" t="str">
        <f aca="false">Raw_Data!A54</f>
        <v>CFM-2026-0087</v>
      </c>
      <c r="Q54" s="37" t="str">
        <f aca="false">IFERROR(IF(OR($A54="",$P54=""),"MISSING ID",IF(EXACT($A54,$P54),"ALIGNED","MISMATCH")),"CHECK")</f>
        <v>ALIGNED</v>
      </c>
    </row>
    <row r="55" customFormat="false" ht="19.5" hidden="false" customHeight="true" outlineLevel="0" collapsed="false">
      <c r="A55" s="29" t="s">
        <v>152</v>
      </c>
      <c r="B55" s="30" t="n">
        <f aca="false">IF(Raw_Data!B55="","",IF(ISTEXT(Raw_Data!B55),IFERROR(DATE(VALUE(RIGHT(TRIM(Raw_Data!B55),4)),VALUE(MID(TRIM(Raw_Data!B55),4,2)),VALUE(LEFT(TRIM(Raw_Data!B55),2))),"CHECK"),Raw_Data!B55))</f>
        <v>46070</v>
      </c>
      <c r="C55" s="31" t="str">
        <f aca="false">IFERROR(INDEX(Reference_Lists!$C$23:$C$35,MATCH(PROPER(TRIM(Raw_Data!C55)),Reference_Lists!$B$23:$B$35,0)),"UNMATCHED")</f>
        <v>Community Focal Point</v>
      </c>
      <c r="D55" s="31" t="str">
        <f aca="false">IFERROR(INDEX(Reference_Lists!$C$36:$C$50,MATCH(PROPER(TRIM(Raw_Data!D55)),Reference_Lists!$B$36:$B$50,0)),"UNMATCHED")</f>
        <v>Khan Yunis</v>
      </c>
      <c r="E55" s="31" t="str">
        <f aca="false">IF(Raw_Data!E55="","",Raw_Data!E55)</f>
        <v>WASH</v>
      </c>
      <c r="F55" s="31" t="str">
        <f aca="false">IF(Raw_Data!F55="","",Raw_Data!F55)</f>
        <v>Complaint</v>
      </c>
      <c r="G55" s="32" t="str">
        <f aca="false">IF(Raw_Data!G55="","",Raw_Data!G55)</f>
        <v>Non-Sensitive</v>
      </c>
      <c r="H55" s="32" t="str">
        <f aca="false">IFERROR(INDEX(Reference_Lists!$C$51:$C$57,MATCH(PROPER(TRIM(Raw_Data!H55)),Reference_Lists!$B$51:$B$57,0)),"UNMATCHED")</f>
        <v>Female</v>
      </c>
      <c r="I55" s="32" t="str">
        <f aca="false">IF(Raw_Data!I55="","",Raw_Data!I55)</f>
        <v>30-44</v>
      </c>
      <c r="J55" s="32" t="str">
        <f aca="false">IFERROR(INDEX(Reference_Lists!$C$58:$C$65,MATCH(PROPER(TRIM(Raw_Data!J55)),Reference_Lists!$B$58:$B$65,0)),"UNMATCHED")</f>
        <v>Referred</v>
      </c>
      <c r="K55" s="30" t="str">
        <f aca="false">IF(Raw_Data!K55="","",IF(ISTEXT(Raw_Data!K55),IFERROR(DATE(VALUE(RIGHT(TRIM(Raw_Data!K55),4)),VALUE(MID(TRIM(Raw_Data!K55),4,2)),VALUE(LEFT(TRIM(Raw_Data!K55),2))),"CHECK"),Raw_Data!K55))</f>
        <v/>
      </c>
      <c r="L55" s="33" t="str">
        <f aca="false">IF(Raw_Data!L55="","",Raw_Data!L55)</f>
        <v>The queue at the water point is not organised and older people cannot wait.</v>
      </c>
      <c r="M55" s="34" t="str">
        <f aca="false">IF(OR(B55="",K55=""),"",IFERROR(K55-B55,"CHECK"))</f>
        <v/>
      </c>
      <c r="N55" s="34" t="n">
        <f aca="false">IFERROR(INDEX(Reference_Lists!$H$13:$H$14,MATCH(G55,Reference_Lists!$G$13:$G$14,0)),"UNMATCHED")</f>
        <v>15</v>
      </c>
      <c r="O55" s="32" t="str">
        <f aca="false">IF(AND(J55="Closed",ISNUMBER(M55),ISNUMBER(N55),M55&gt;=0),M55&lt;=N55,"NOT ASSESSED")</f>
        <v>NOT ASSESSED</v>
      </c>
      <c r="P55" s="36" t="str">
        <f aca="false">Raw_Data!A55</f>
        <v>CFM-2026-0284</v>
      </c>
      <c r="Q55" s="37" t="str">
        <f aca="false">IFERROR(IF(OR($A55="",$P55=""),"MISSING ID",IF(EXACT($A55,$P55),"ALIGNED","MISMATCH")),"CHECK")</f>
        <v>ALIGNED</v>
      </c>
    </row>
    <row r="56" customFormat="false" ht="19.5" hidden="false" customHeight="true" outlineLevel="0" collapsed="false">
      <c r="A56" s="29" t="s">
        <v>153</v>
      </c>
      <c r="B56" s="30" t="n">
        <f aca="false">IF(Raw_Data!B56="","",IF(ISTEXT(Raw_Data!B56),IFERROR(DATE(VALUE(RIGHT(TRIM(Raw_Data!B56),4)),VALUE(MID(TRIM(Raw_Data!B56),4,2)),VALUE(LEFT(TRIM(Raw_Data!B56),2))),"CHECK"),Raw_Data!B56))</f>
        <v>46121</v>
      </c>
      <c r="C56" s="31" t="str">
        <f aca="false">IFERROR(INDEX(Reference_Lists!$C$23:$C$35,MATCH(PROPER(TRIM(Raw_Data!C56)),Reference_Lists!$B$23:$B$35,0)),"UNMATCHED")</f>
        <v>Suggestion Box</v>
      </c>
      <c r="D56" s="31" t="str">
        <f aca="false">IFERROR(INDEX(Reference_Lists!$C$36:$C$50,MATCH(PROPER(TRIM(Raw_Data!D56)),Reference_Lists!$B$36:$B$50,0)),"UNMATCHED")</f>
        <v>Rafah</v>
      </c>
      <c r="E56" s="31" t="str">
        <f aca="false">IF(Raw_Data!E56="","",Raw_Data!E56)</f>
        <v>WASH</v>
      </c>
      <c r="F56" s="31" t="str">
        <f aca="false">IF(Raw_Data!F56="","",Raw_Data!F56)</f>
        <v>Complaint</v>
      </c>
      <c r="G56" s="32" t="str">
        <f aca="false">IF(Raw_Data!G56="","",Raw_Data!G56)</f>
        <v>Non-Sensitive</v>
      </c>
      <c r="H56" s="32" t="str">
        <f aca="false">IFERROR(INDEX(Reference_Lists!$C$51:$C$57,MATCH(PROPER(TRIM(Raw_Data!H56)),Reference_Lists!$B$51:$B$57,0)),"UNMATCHED")</f>
        <v>Female</v>
      </c>
      <c r="I56" s="32" t="str">
        <f aca="false">IF(Raw_Data!I56="","",Raw_Data!I56)</f>
        <v>30-44</v>
      </c>
      <c r="J56" s="32" t="str">
        <f aca="false">IFERROR(INDEX(Reference_Lists!$C$58:$C$65,MATCH(PROPER(TRIM(Raw_Data!J56)),Reference_Lists!$B$58:$B$65,0)),"UNMATCHED")</f>
        <v>Closed</v>
      </c>
      <c r="K56" s="30" t="n">
        <f aca="false">IF(Raw_Data!K56="","",IF(ISTEXT(Raw_Data!K56),IFERROR(DATE(VALUE(RIGHT(TRIM(Raw_Data!K56),4)),VALUE(MID(TRIM(Raw_Data!K56),4,2)),VALUE(LEFT(TRIM(Raw_Data!K56),2))),"CHECK"),Raw_Data!K56))</f>
        <v>46144</v>
      </c>
      <c r="L56" s="33" t="str">
        <f aca="false">IF(Raw_Data!L56="","",Raw_Data!L56)</f>
        <v>The queue at the water point is not organised and older people cannot wait.</v>
      </c>
      <c r="M56" s="34" t="n">
        <f aca="false">IF(OR(B56="",K56=""),"",IFERROR(K56-B56,"CHECK"))</f>
        <v>23</v>
      </c>
      <c r="N56" s="34" t="n">
        <f aca="false">IFERROR(INDEX(Reference_Lists!$H$13:$H$14,MATCH(G56,Reference_Lists!$G$13:$G$14,0)),"UNMATCHED")</f>
        <v>15</v>
      </c>
      <c r="O56" s="35" t="b">
        <f aca="false">IF(AND(J56="Closed",ISNUMBER(M56),ISNUMBER(N56),M56&gt;=0),M56&lt;=N56,"NOT ASSESSED")</f>
        <v>0</v>
      </c>
      <c r="P56" s="36" t="str">
        <f aca="false">Raw_Data!A56</f>
        <v>CFM-2026-0384</v>
      </c>
      <c r="Q56" s="37" t="str">
        <f aca="false">IFERROR(IF(OR($A56="",$P56=""),"MISSING ID",IF(EXACT($A56,$P56),"ALIGNED","MISMATCH")),"CHECK")</f>
        <v>ALIGNED</v>
      </c>
    </row>
    <row r="57" customFormat="false" ht="19.5" hidden="false" customHeight="true" outlineLevel="0" collapsed="false">
      <c r="A57" s="29" t="s">
        <v>155</v>
      </c>
      <c r="B57" s="30" t="n">
        <f aca="false">IF(Raw_Data!B57="","",IF(ISTEXT(Raw_Data!B57),IFERROR(DATE(VALUE(RIGHT(TRIM(Raw_Data!B57),4)),VALUE(MID(TRIM(Raw_Data!B57),4,2)),VALUE(LEFT(TRIM(Raw_Data!B57),2))),"CHECK"),Raw_Data!B57))</f>
        <v>46193</v>
      </c>
      <c r="C57" s="31" t="str">
        <f aca="false">IFERROR(INDEX(Reference_Lists!$C$23:$C$35,MATCH(PROPER(TRIM(Raw_Data!C57)),Reference_Lists!$B$23:$B$35,0)),"UNMATCHED")</f>
        <v>Suggestion Box</v>
      </c>
      <c r="D57" s="31" t="str">
        <f aca="false">IFERROR(INDEX(Reference_Lists!$C$36:$C$50,MATCH(PROPER(TRIM(Raw_Data!D57)),Reference_Lists!$B$36:$B$50,0)),"UNMATCHED")</f>
        <v>Khan Yunis</v>
      </c>
      <c r="E57" s="31" t="str">
        <f aca="false">IF(Raw_Data!E57="","",Raw_Data!E57)</f>
        <v>Health</v>
      </c>
      <c r="F57" s="31" t="str">
        <f aca="false">IF(Raw_Data!F57="","",Raw_Data!F57)</f>
        <v>Complaint</v>
      </c>
      <c r="G57" s="32" t="str">
        <f aca="false">IF(Raw_Data!G57="","",Raw_Data!G57)</f>
        <v>Non-Sensitive</v>
      </c>
      <c r="H57" s="32" t="str">
        <f aca="false">IFERROR(INDEX(Reference_Lists!$C$51:$C$57,MATCH(PROPER(TRIM(Raw_Data!H57)),Reference_Lists!$B$51:$B$57,0)),"UNMATCHED")</f>
        <v>Female</v>
      </c>
      <c r="I57" s="32" t="str">
        <f aca="false">IF(Raw_Data!I57="","",Raw_Data!I57)</f>
        <v>30-44</v>
      </c>
      <c r="J57" s="32" t="str">
        <f aca="false">IFERROR(INDEX(Reference_Lists!$C$58:$C$65,MATCH(PROPER(TRIM(Raw_Data!J57)),Reference_Lists!$B$58:$B$65,0)),"UNMATCHED")</f>
        <v>Closed</v>
      </c>
      <c r="K57" s="30" t="n">
        <f aca="false">IF(Raw_Data!K57="","",IF(ISTEXT(Raw_Data!K57),IFERROR(DATE(VALUE(RIGHT(TRIM(Raw_Data!K57),4)),VALUE(MID(TRIM(Raw_Data!K57),4,2)),VALUE(LEFT(TRIM(Raw_Data!K57),2))),"CHECK"),Raw_Data!K57))</f>
        <v>46210</v>
      </c>
      <c r="L57" s="33" t="str">
        <f aca="false">IF(Raw_Data!L57="","",Raw_Data!L57)</f>
        <v>Clinic opening hours are not clear to the community.</v>
      </c>
      <c r="M57" s="34" t="n">
        <f aca="false">IF(OR(B57="",K57=""),"",IFERROR(K57-B57,"CHECK"))</f>
        <v>17</v>
      </c>
      <c r="N57" s="34" t="n">
        <f aca="false">IFERROR(INDEX(Reference_Lists!$H$13:$H$14,MATCH(G57,Reference_Lists!$G$13:$G$14,0)),"UNMATCHED")</f>
        <v>15</v>
      </c>
      <c r="O57" s="35" t="b">
        <f aca="false">IF(AND(J57="Closed",ISNUMBER(M57),ISNUMBER(N57),M57&gt;=0),M57&lt;=N57,"NOT ASSESSED")</f>
        <v>0</v>
      </c>
      <c r="P57" s="36" t="str">
        <f aca="false">Raw_Data!A57</f>
        <v>CFM-2026-0017</v>
      </c>
      <c r="Q57" s="37" t="str">
        <f aca="false">IFERROR(IF(OR($A57="",$P57=""),"MISSING ID",IF(EXACT($A57,$P57),"ALIGNED","MISMATCH")),"CHECK")</f>
        <v>ALIGNED</v>
      </c>
    </row>
    <row r="58" customFormat="false" ht="19.5" hidden="false" customHeight="true" outlineLevel="0" collapsed="false">
      <c r="A58" s="29" t="s">
        <v>156</v>
      </c>
      <c r="B58" s="30" t="n">
        <f aca="false">IF(Raw_Data!B58="","",IF(ISTEXT(Raw_Data!B58),IFERROR(DATE(VALUE(RIGHT(TRIM(Raw_Data!B58),4)),VALUE(MID(TRIM(Raw_Data!B58),4,2)),VALUE(LEFT(TRIM(Raw_Data!B58),2))),"CHECK"),Raw_Data!B58))</f>
        <v>46039</v>
      </c>
      <c r="C58" s="31" t="str">
        <f aca="false">IFERROR(INDEX(Reference_Lists!$C$23:$C$35,MATCH(PROPER(TRIM(Raw_Data!C58)),Reference_Lists!$B$23:$B$35,0)),"UNMATCHED")</f>
        <v>Help Desk</v>
      </c>
      <c r="D58" s="31" t="str">
        <f aca="false">IFERROR(INDEX(Reference_Lists!$C$36:$C$50,MATCH(PROPER(TRIM(Raw_Data!D58)),Reference_Lists!$B$36:$B$50,0)),"UNMATCHED")</f>
        <v>Deir al-Balah</v>
      </c>
      <c r="E58" s="31" t="str">
        <f aca="false">IF(Raw_Data!E58="","",Raw_Data!E58)</f>
        <v>WASH</v>
      </c>
      <c r="F58" s="31" t="str">
        <f aca="false">IF(Raw_Data!F58="","",Raw_Data!F58)</f>
        <v>Request for Information</v>
      </c>
      <c r="G58" s="32" t="str">
        <f aca="false">IF(Raw_Data!G58="","",Raw_Data!G58)</f>
        <v>Non-Sensitive</v>
      </c>
      <c r="H58" s="32" t="str">
        <f aca="false">IFERROR(INDEX(Reference_Lists!$C$51:$C$57,MATCH(PROPER(TRIM(Raw_Data!H58)),Reference_Lists!$B$51:$B$57,0)),"UNMATCHED")</f>
        <v>Male</v>
      </c>
      <c r="I58" s="32" t="str">
        <f aca="false">IF(Raw_Data!I58="","",Raw_Data!I58)</f>
        <v>18-29</v>
      </c>
      <c r="J58" s="32" t="str">
        <f aca="false">IFERROR(INDEX(Reference_Lists!$C$58:$C$65,MATCH(PROPER(TRIM(Raw_Data!J58)),Reference_Lists!$B$58:$B$65,0)),"UNMATCHED")</f>
        <v>Open</v>
      </c>
      <c r="K58" s="30" t="str">
        <f aca="false">IF(Raw_Data!K58="","",IF(ISTEXT(Raw_Data!K58),IFERROR(DATE(VALUE(RIGHT(TRIM(Raw_Data!K58),4)),VALUE(MID(TRIM(Raw_Data!K58),4,2)),VALUE(LEFT(TRIM(Raw_Data!K58),2))),"CHECK"),Raw_Data!K58))</f>
        <v/>
      </c>
      <c r="L58" s="33" t="str">
        <f aca="false">IF(Raw_Data!L58="","",Raw_Data!L58)</f>
        <v>The queue at the water point is not organised and older people cannot wait.</v>
      </c>
      <c r="M58" s="34" t="str">
        <f aca="false">IF(OR(B58="",K58=""),"",IFERROR(K58-B58,"CHECK"))</f>
        <v/>
      </c>
      <c r="N58" s="34" t="n">
        <f aca="false">IFERROR(INDEX(Reference_Lists!$H$13:$H$14,MATCH(G58,Reference_Lists!$G$13:$G$14,0)),"UNMATCHED")</f>
        <v>15</v>
      </c>
      <c r="O58" s="32" t="str">
        <f aca="false">IF(AND(J58="Closed",ISNUMBER(M58),ISNUMBER(N58),M58&gt;=0),M58&lt;=N58,"NOT ASSESSED")</f>
        <v>NOT ASSESSED</v>
      </c>
      <c r="P58" s="36" t="str">
        <f aca="false">Raw_Data!A58</f>
        <v>CFM-2026-0045</v>
      </c>
      <c r="Q58" s="37" t="str">
        <f aca="false">IFERROR(IF(OR($A58="",$P58=""),"MISSING ID",IF(EXACT($A58,$P58),"ALIGNED","MISMATCH")),"CHECK")</f>
        <v>ALIGNED</v>
      </c>
    </row>
    <row r="59" customFormat="false" ht="19.5" hidden="false" customHeight="true" outlineLevel="0" collapsed="false">
      <c r="A59" s="29" t="s">
        <v>158</v>
      </c>
      <c r="B59" s="30" t="n">
        <f aca="false">IF(Raw_Data!B59="","",IF(ISTEXT(Raw_Data!B59),IFERROR(DATE(VALUE(RIGHT(TRIM(Raw_Data!B59),4)),VALUE(MID(TRIM(Raw_Data!B59),4,2)),VALUE(LEFT(TRIM(Raw_Data!B59),2))),"CHECK"),Raw_Data!B59))</f>
        <v>46114</v>
      </c>
      <c r="C59" s="31" t="str">
        <f aca="false">IFERROR(INDEX(Reference_Lists!$C$23:$C$35,MATCH(PROPER(TRIM(Raw_Data!C59)),Reference_Lists!$B$23:$B$35,0)),"UNMATCHED")</f>
        <v>Suggestion Box</v>
      </c>
      <c r="D59" s="31" t="str">
        <f aca="false">IFERROR(INDEX(Reference_Lists!$C$36:$C$50,MATCH(PROPER(TRIM(Raw_Data!D59)),Reference_Lists!$B$36:$B$50,0)),"UNMATCHED")</f>
        <v>Rafah</v>
      </c>
      <c r="E59" s="31" t="str">
        <f aca="false">IF(Raw_Data!E59="","",Raw_Data!E59)</f>
        <v>Food Security</v>
      </c>
      <c r="F59" s="31" t="str">
        <f aca="false">IF(Raw_Data!F59="","",Raw_Data!F59)</f>
        <v>Complaint</v>
      </c>
      <c r="G59" s="32" t="str">
        <f aca="false">IF(Raw_Data!G59="","",Raw_Data!G59)</f>
        <v>Non-Sensitive</v>
      </c>
      <c r="H59" s="32" t="str">
        <f aca="false">IFERROR(INDEX(Reference_Lists!$C$51:$C$57,MATCH(PROPER(TRIM(Raw_Data!H59)),Reference_Lists!$B$51:$B$57,0)),"UNMATCHED")</f>
        <v>Female</v>
      </c>
      <c r="I59" s="32" t="str">
        <f aca="false">IF(Raw_Data!I59="","",Raw_Data!I59)</f>
        <v>18-29</v>
      </c>
      <c r="J59" s="32" t="str">
        <f aca="false">IFERROR(INDEX(Reference_Lists!$C$58:$C$65,MATCH(PROPER(TRIM(Raw_Data!J59)),Reference_Lists!$B$58:$B$65,0)),"UNMATCHED")</f>
        <v>In Progress</v>
      </c>
      <c r="K59" s="30" t="str">
        <f aca="false">IF(Raw_Data!K59="","",IF(ISTEXT(Raw_Data!K59),IFERROR(DATE(VALUE(RIGHT(TRIM(Raw_Data!K59),4)),VALUE(MID(TRIM(Raw_Data!K59),4,2)),VALUE(LEFT(TRIM(Raw_Data!K59),2))),"CHECK"),Raw_Data!K59))</f>
        <v/>
      </c>
      <c r="L59" s="33" t="str">
        <f aca="false">IF(Raw_Data!L59="","",Raw_Data!L59)</f>
        <v>Food parcel contents did not match the announced list.</v>
      </c>
      <c r="M59" s="34" t="str">
        <f aca="false">IF(OR(B59="",K59=""),"",IFERROR(K59-B59,"CHECK"))</f>
        <v/>
      </c>
      <c r="N59" s="34" t="n">
        <f aca="false">IFERROR(INDEX(Reference_Lists!$H$13:$H$14,MATCH(G59,Reference_Lists!$G$13:$G$14,0)),"UNMATCHED")</f>
        <v>15</v>
      </c>
      <c r="O59" s="32" t="str">
        <f aca="false">IF(AND(J59="Closed",ISNUMBER(M59),ISNUMBER(N59),M59&gt;=0),M59&lt;=N59,"NOT ASSESSED")</f>
        <v>NOT ASSESSED</v>
      </c>
      <c r="P59" s="36" t="str">
        <f aca="false">Raw_Data!A59</f>
        <v>CFM-2026-0244</v>
      </c>
      <c r="Q59" s="37" t="str">
        <f aca="false">IFERROR(IF(OR($A59="",$P59=""),"MISSING ID",IF(EXACT($A59,$P59),"ALIGNED","MISMATCH")),"CHECK")</f>
        <v>ALIGNED</v>
      </c>
    </row>
    <row r="60" customFormat="false" ht="19.5" hidden="false" customHeight="true" outlineLevel="0" collapsed="false">
      <c r="A60" s="29" t="s">
        <v>160</v>
      </c>
      <c r="B60" s="30" t="n">
        <f aca="false">IF(Raw_Data!B60="","",IF(ISTEXT(Raw_Data!B60),IFERROR(DATE(VALUE(RIGHT(TRIM(Raw_Data!B60),4)),VALUE(MID(TRIM(Raw_Data!B60),4,2)),VALUE(LEFT(TRIM(Raw_Data!B60),2))),"CHECK"),Raw_Data!B60))</f>
        <v>46110</v>
      </c>
      <c r="C60" s="31" t="str">
        <f aca="false">IFERROR(INDEX(Reference_Lists!$C$23:$C$35,MATCH(PROPER(TRIM(Raw_Data!C60)),Reference_Lists!$B$23:$B$35,0)),"UNMATCHED")</f>
        <v>Suggestion Box</v>
      </c>
      <c r="D60" s="31" t="str">
        <f aca="false">IFERROR(INDEX(Reference_Lists!$C$36:$C$50,MATCH(PROPER(TRIM(Raw_Data!D60)),Reference_Lists!$B$36:$B$50,0)),"UNMATCHED")</f>
        <v>Jabalia</v>
      </c>
      <c r="E60" s="31" t="str">
        <f aca="false">IF(Raw_Data!E60="","",Raw_Data!E60)</f>
        <v>Shelter</v>
      </c>
      <c r="F60" s="31" t="str">
        <f aca="false">IF(Raw_Data!F60="","",Raw_Data!F60)</f>
        <v>Complaint</v>
      </c>
      <c r="G60" s="32" t="str">
        <f aca="false">IF(Raw_Data!G60="","",Raw_Data!G60)</f>
        <v>Non-Sensitive</v>
      </c>
      <c r="H60" s="32" t="str">
        <f aca="false">IFERROR(INDEX(Reference_Lists!$C$51:$C$57,MATCH(PROPER(TRIM(Raw_Data!H60)),Reference_Lists!$B$51:$B$57,0)),"UNMATCHED")</f>
        <v>Female</v>
      </c>
      <c r="I60" s="32" t="str">
        <f aca="false">IF(Raw_Data!I60="","",Raw_Data!I60)</f>
        <v>45-59</v>
      </c>
      <c r="J60" s="32" t="str">
        <f aca="false">IFERROR(INDEX(Reference_Lists!$C$58:$C$65,MATCH(PROPER(TRIM(Raw_Data!J60)),Reference_Lists!$B$58:$B$65,0)),"UNMATCHED")</f>
        <v>Closed</v>
      </c>
      <c r="K60" s="30" t="n">
        <f aca="false">IF(Raw_Data!K60="","",IF(ISTEXT(Raw_Data!K60),IFERROR(DATE(VALUE(RIGHT(TRIM(Raw_Data!K60),4)),VALUE(MID(TRIM(Raw_Data!K60),4,2)),VALUE(LEFT(TRIM(Raw_Data!K60),2))),"CHECK"),Raw_Data!K60))</f>
        <v>46114</v>
      </c>
      <c r="L60" s="33" t="str">
        <f aca="false">IF(Raw_Data!L60="","",Raw_Data!L60)</f>
        <v>Tarpaulin received is torn and does not cover the shelter area.</v>
      </c>
      <c r="M60" s="34" t="n">
        <f aca="false">IF(OR(B60="",K60=""),"",IFERROR(K60-B60,"CHECK"))</f>
        <v>4</v>
      </c>
      <c r="N60" s="34" t="n">
        <f aca="false">IFERROR(INDEX(Reference_Lists!$H$13:$H$14,MATCH(G60,Reference_Lists!$G$13:$G$14,0)),"UNMATCHED")</f>
        <v>15</v>
      </c>
      <c r="O60" s="35" t="b">
        <f aca="false">IF(AND(J60="Closed",ISNUMBER(M60),ISNUMBER(N60),M60&gt;=0),M60&lt;=N60,"NOT ASSESSED")</f>
        <v>1</v>
      </c>
      <c r="P60" s="36" t="str">
        <f aca="false">Raw_Data!A60</f>
        <v>CFM-2026-0135</v>
      </c>
      <c r="Q60" s="37" t="str">
        <f aca="false">IFERROR(IF(OR($A60="",$P60=""),"MISSING ID",IF(EXACT($A60,$P60),"ALIGNED","MISMATCH")),"CHECK")</f>
        <v>ALIGNED</v>
      </c>
    </row>
    <row r="61" customFormat="false" ht="19.5" hidden="false" customHeight="true" outlineLevel="0" collapsed="false">
      <c r="A61" s="29" t="s">
        <v>162</v>
      </c>
      <c r="B61" s="30" t="n">
        <f aca="false">IF(Raw_Data!B61="","",IF(ISTEXT(Raw_Data!B61),IFERROR(DATE(VALUE(RIGHT(TRIM(Raw_Data!B61),4)),VALUE(MID(TRIM(Raw_Data!B61),4,2)),VALUE(LEFT(TRIM(Raw_Data!B61),2))),"CHECK"),Raw_Data!B61))</f>
        <v>46138</v>
      </c>
      <c r="C61" s="31" t="str">
        <f aca="false">IFERROR(INDEX(Reference_Lists!$C$23:$C$35,MATCH(PROPER(TRIM(Raw_Data!C61)),Reference_Lists!$B$23:$B$35,0)),"UNMATCHED")</f>
        <v>Community Focal Point</v>
      </c>
      <c r="D61" s="31" t="str">
        <f aca="false">IFERROR(INDEX(Reference_Lists!$C$36:$C$50,MATCH(PROPER(TRIM(Raw_Data!D61)),Reference_Lists!$B$36:$B$50,0)),"UNMATCHED")</f>
        <v>Nuseirat</v>
      </c>
      <c r="E61" s="31" t="str">
        <f aca="false">IF(Raw_Data!E61="","",Raw_Data!E61)</f>
        <v>WASH</v>
      </c>
      <c r="F61" s="31" t="str">
        <f aca="false">IF(Raw_Data!F61="","",Raw_Data!F61)</f>
        <v>Complaint</v>
      </c>
      <c r="G61" s="32" t="str">
        <f aca="false">IF(Raw_Data!G61="","",Raw_Data!G61)</f>
        <v>Non-Sensitive</v>
      </c>
      <c r="H61" s="32" t="str">
        <f aca="false">IFERROR(INDEX(Reference_Lists!$C$51:$C$57,MATCH(PROPER(TRIM(Raw_Data!H61)),Reference_Lists!$B$51:$B$57,0)),"UNMATCHED")</f>
        <v>Female</v>
      </c>
      <c r="I61" s="32" t="str">
        <f aca="false">IF(Raw_Data!I61="","",Raw_Data!I61)</f>
        <v>45-59</v>
      </c>
      <c r="J61" s="32" t="str">
        <f aca="false">IFERROR(INDEX(Reference_Lists!$C$58:$C$65,MATCH(PROPER(TRIM(Raw_Data!J61)),Reference_Lists!$B$58:$B$65,0)),"UNMATCHED")</f>
        <v>In Progress</v>
      </c>
      <c r="K61" s="30" t="str">
        <f aca="false">IF(Raw_Data!K61="","",IF(ISTEXT(Raw_Data!K61),IFERROR(DATE(VALUE(RIGHT(TRIM(Raw_Data!K61),4)),VALUE(MID(TRIM(Raw_Data!K61),4,2)),VALUE(LEFT(TRIM(Raw_Data!K61),2))),"CHECK"),Raw_Data!K61))</f>
        <v/>
      </c>
      <c r="L61" s="33" t="str">
        <f aca="false">IF(Raw_Data!L61="","",Raw_Data!L61)</f>
        <v>Latrine at the site block needs cleaning and lighting at night.</v>
      </c>
      <c r="M61" s="34" t="str">
        <f aca="false">IF(OR(B61="",K61=""),"",IFERROR(K61-B61,"CHECK"))</f>
        <v/>
      </c>
      <c r="N61" s="34" t="n">
        <f aca="false">IFERROR(INDEX(Reference_Lists!$H$13:$H$14,MATCH(G61,Reference_Lists!$G$13:$G$14,0)),"UNMATCHED")</f>
        <v>15</v>
      </c>
      <c r="O61" s="32" t="str">
        <f aca="false">IF(AND(J61="Closed",ISNUMBER(M61),ISNUMBER(N61),M61&gt;=0),M61&lt;=N61,"NOT ASSESSED")</f>
        <v>NOT ASSESSED</v>
      </c>
      <c r="P61" s="36" t="str">
        <f aca="false">Raw_Data!A61</f>
        <v>CFM-2026-0389</v>
      </c>
      <c r="Q61" s="37" t="str">
        <f aca="false">IFERROR(IF(OR($A61="",$P61=""),"MISSING ID",IF(EXACT($A61,$P61),"ALIGNED","MISMATCH")),"CHECK")</f>
        <v>ALIGNED</v>
      </c>
    </row>
    <row r="62" customFormat="false" ht="19.5" hidden="false" customHeight="true" outlineLevel="0" collapsed="false">
      <c r="A62" s="29" t="s">
        <v>163</v>
      </c>
      <c r="B62" s="30" t="n">
        <f aca="false">IF(Raw_Data!B62="","",IF(ISTEXT(Raw_Data!B62),IFERROR(DATE(VALUE(RIGHT(TRIM(Raw_Data!B62),4)),VALUE(MID(TRIM(Raw_Data!B62),4,2)),VALUE(LEFT(TRIM(Raw_Data!B62),2))),"CHECK"),Raw_Data!B62))</f>
        <v>46216</v>
      </c>
      <c r="C62" s="31" t="str">
        <f aca="false">IFERROR(INDEX(Reference_Lists!$C$23:$C$35,MATCH(PROPER(TRIM(Raw_Data!C62)),Reference_Lists!$B$23:$B$35,0)),"UNMATCHED")</f>
        <v>Phone Hotline</v>
      </c>
      <c r="D62" s="31" t="str">
        <f aca="false">IFERROR(INDEX(Reference_Lists!$C$36:$C$50,MATCH(PROPER(TRIM(Raw_Data!D62)),Reference_Lists!$B$36:$B$50,0)),"UNMATCHED")</f>
        <v>Rafah</v>
      </c>
      <c r="E62" s="31" t="str">
        <f aca="false">IF(Raw_Data!E62="","",Raw_Data!E62)</f>
        <v>Shelter</v>
      </c>
      <c r="F62" s="31" t="str">
        <f aca="false">IF(Raw_Data!F62="","",Raw_Data!F62)</f>
        <v>Appreciation</v>
      </c>
      <c r="G62" s="32" t="str">
        <f aca="false">IF(Raw_Data!G62="","",Raw_Data!G62)</f>
        <v>Non-Sensitive</v>
      </c>
      <c r="H62" s="32" t="str">
        <f aca="false">IFERROR(INDEX(Reference_Lists!$C$51:$C$57,MATCH(PROPER(TRIM(Raw_Data!H62)),Reference_Lists!$B$51:$B$57,0)),"UNMATCHED")</f>
        <v>Female</v>
      </c>
      <c r="I62" s="32" t="str">
        <f aca="false">IF(Raw_Data!I62="","",Raw_Data!I62)</f>
        <v>18-29</v>
      </c>
      <c r="J62" s="32" t="str">
        <f aca="false">IFERROR(INDEX(Reference_Lists!$C$58:$C$65,MATCH(PROPER(TRIM(Raw_Data!J62)),Reference_Lists!$B$58:$B$65,0)),"UNMATCHED")</f>
        <v>Open</v>
      </c>
      <c r="K62" s="30" t="str">
        <f aca="false">IF(Raw_Data!K62="","",IF(ISTEXT(Raw_Data!K62),IFERROR(DATE(VALUE(RIGHT(TRIM(Raw_Data!K62),4)),VALUE(MID(TRIM(Raw_Data!K62),4,2)),VALUE(LEFT(TRIM(Raw_Data!K62),2))),"CHECK"),Raw_Data!K62))</f>
        <v/>
      </c>
      <c r="L62" s="33" t="str">
        <f aca="false">IF(Raw_Data!L62="","",Raw_Data!L62)</f>
        <v>Tarpaulin received is torn and does not cover the shelter area.</v>
      </c>
      <c r="M62" s="34" t="str">
        <f aca="false">IF(OR(B62="",K62=""),"",IFERROR(K62-B62,"CHECK"))</f>
        <v/>
      </c>
      <c r="N62" s="34" t="n">
        <f aca="false">IFERROR(INDEX(Reference_Lists!$H$13:$H$14,MATCH(G62,Reference_Lists!$G$13:$G$14,0)),"UNMATCHED")</f>
        <v>15</v>
      </c>
      <c r="O62" s="32" t="str">
        <f aca="false">IF(AND(J62="Closed",ISNUMBER(M62),ISNUMBER(N62),M62&gt;=0),M62&lt;=N62,"NOT ASSESSED")</f>
        <v>NOT ASSESSED</v>
      </c>
      <c r="P62" s="36" t="str">
        <f aca="false">Raw_Data!A62</f>
        <v>CFM-2026-0333</v>
      </c>
      <c r="Q62" s="37" t="str">
        <f aca="false">IFERROR(IF(OR($A62="",$P62=""),"MISSING ID",IF(EXACT($A62,$P62),"ALIGNED","MISMATCH")),"CHECK")</f>
        <v>ALIGNED</v>
      </c>
    </row>
    <row r="63" customFormat="false" ht="19.5" hidden="false" customHeight="true" outlineLevel="0" collapsed="false">
      <c r="A63" s="29" t="s">
        <v>165</v>
      </c>
      <c r="B63" s="30" t="n">
        <f aca="false">IF(Raw_Data!B63="","",IF(ISTEXT(Raw_Data!B63),IFERROR(DATE(VALUE(RIGHT(TRIM(Raw_Data!B63),4)),VALUE(MID(TRIM(Raw_Data!B63),4,2)),VALUE(LEFT(TRIM(Raw_Data!B63),2))),"CHECK"),Raw_Data!B63))</f>
        <v>46202</v>
      </c>
      <c r="C63" s="31" t="str">
        <f aca="false">IFERROR(INDEX(Reference_Lists!$C$23:$C$35,MATCH(PROPER(TRIM(Raw_Data!C63)),Reference_Lists!$B$23:$B$35,0)),"UNMATCHED")</f>
        <v>Suggestion Box</v>
      </c>
      <c r="D63" s="31" t="str">
        <f aca="false">IFERROR(INDEX(Reference_Lists!$C$36:$C$50,MATCH(PROPER(TRIM(Raw_Data!D63)),Reference_Lists!$B$36:$B$50,0)),"UNMATCHED")</f>
        <v>Rafah</v>
      </c>
      <c r="E63" s="31" t="str">
        <f aca="false">IF(Raw_Data!E63="","",Raw_Data!E63)</f>
        <v>Nutrition</v>
      </c>
      <c r="F63" s="31" t="str">
        <f aca="false">IF(Raw_Data!F63="","",Raw_Data!F63)</f>
        <v>Suggestion</v>
      </c>
      <c r="G63" s="32" t="str">
        <f aca="false">IF(Raw_Data!G63="","",Raw_Data!G63)</f>
        <v>Non-Sensitive</v>
      </c>
      <c r="H63" s="32" t="str">
        <f aca="false">IFERROR(INDEX(Reference_Lists!$C$51:$C$57,MATCH(PROPER(TRIM(Raw_Data!H63)),Reference_Lists!$B$51:$B$57,0)),"UNMATCHED")</f>
        <v>Female</v>
      </c>
      <c r="I63" s="32" t="str">
        <f aca="false">IF(Raw_Data!I63="","",Raw_Data!I63)</f>
        <v>45-59</v>
      </c>
      <c r="J63" s="32" t="str">
        <f aca="false">IFERROR(INDEX(Reference_Lists!$C$58:$C$65,MATCH(PROPER(TRIM(Raw_Data!J63)),Reference_Lists!$B$58:$B$65,0)),"UNMATCHED")</f>
        <v>Closed</v>
      </c>
      <c r="K63" s="30" t="n">
        <f aca="false">IF(Raw_Data!K63="","",IF(ISTEXT(Raw_Data!K63),IFERROR(DATE(VALUE(RIGHT(TRIM(Raw_Data!K63),4)),VALUE(MID(TRIM(Raw_Data!K63),4,2)),VALUE(LEFT(TRIM(Raw_Data!K63),2))),"CHECK"),Raw_Data!K63))</f>
        <v>46218</v>
      </c>
      <c r="L63" s="33" t="str">
        <f aca="false">IF(Raw_Data!L63="","",Raw_Data!L63)</f>
        <v>Asking whether children above five are included in the screening.</v>
      </c>
      <c r="M63" s="34" t="n">
        <f aca="false">IF(OR(B63="",K63=""),"",IFERROR(K63-B63,"CHECK"))</f>
        <v>16</v>
      </c>
      <c r="N63" s="34" t="n">
        <f aca="false">IFERROR(INDEX(Reference_Lists!$H$13:$H$14,MATCH(G63,Reference_Lists!$G$13:$G$14,0)),"UNMATCHED")</f>
        <v>15</v>
      </c>
      <c r="O63" s="35" t="b">
        <f aca="false">IF(AND(J63="Closed",ISNUMBER(M63),ISNUMBER(N63),M63&gt;=0),M63&lt;=N63,"NOT ASSESSED")</f>
        <v>0</v>
      </c>
      <c r="P63" s="36" t="str">
        <f aca="false">Raw_Data!A63</f>
        <v>CFM-2026-0132</v>
      </c>
      <c r="Q63" s="37" t="str">
        <f aca="false">IFERROR(IF(OR($A63="",$P63=""),"MISSING ID",IF(EXACT($A63,$P63),"ALIGNED","MISMATCH")),"CHECK")</f>
        <v>ALIGNED</v>
      </c>
    </row>
    <row r="64" customFormat="false" ht="19.5" hidden="false" customHeight="true" outlineLevel="0" collapsed="false">
      <c r="A64" s="29" t="s">
        <v>166</v>
      </c>
      <c r="B64" s="30" t="n">
        <f aca="false">IF(Raw_Data!B64="","",IF(ISTEXT(Raw_Data!B64),IFERROR(DATE(VALUE(RIGHT(TRIM(Raw_Data!B64),4)),VALUE(MID(TRIM(Raw_Data!B64),4,2)),VALUE(LEFT(TRIM(Raw_Data!B64),2))),"CHECK"),Raw_Data!B64))</f>
        <v>46147</v>
      </c>
      <c r="C64" s="31" t="str">
        <f aca="false">IFERROR(INDEX(Reference_Lists!$C$23:$C$35,MATCH(PROPER(TRIM(Raw_Data!C64)),Reference_Lists!$B$23:$B$35,0)),"UNMATCHED")</f>
        <v>Help Desk</v>
      </c>
      <c r="D64" s="31" t="str">
        <f aca="false">IFERROR(INDEX(Reference_Lists!$C$36:$C$50,MATCH(PROPER(TRIM(Raw_Data!D64)),Reference_Lists!$B$36:$B$50,0)),"UNMATCHED")</f>
        <v>Nuseirat</v>
      </c>
      <c r="E64" s="31" t="str">
        <f aca="false">IF(Raw_Data!E64="","",Raw_Data!E64)</f>
        <v>WASH</v>
      </c>
      <c r="F64" s="31" t="str">
        <f aca="false">IF(Raw_Data!F64="","",Raw_Data!F64)</f>
        <v>Complaint</v>
      </c>
      <c r="G64" s="32" t="str">
        <f aca="false">IF(Raw_Data!G64="","",Raw_Data!G64)</f>
        <v>Non-Sensitive</v>
      </c>
      <c r="H64" s="32" t="str">
        <f aca="false">IFERROR(INDEX(Reference_Lists!$C$51:$C$57,MATCH(PROPER(TRIM(Raw_Data!H64)),Reference_Lists!$B$51:$B$57,0)),"UNMATCHED")</f>
        <v>Male</v>
      </c>
      <c r="I64" s="32" t="str">
        <f aca="false">IF(Raw_Data!I64="","",Raw_Data!I64)</f>
        <v>Under 18</v>
      </c>
      <c r="J64" s="32" t="str">
        <f aca="false">IFERROR(INDEX(Reference_Lists!$C$58:$C$65,MATCH(PROPER(TRIM(Raw_Data!J64)),Reference_Lists!$B$58:$B$65,0)),"UNMATCHED")</f>
        <v>Closed</v>
      </c>
      <c r="K64" s="30" t="n">
        <f aca="false">IF(Raw_Data!K64="","",IF(ISTEXT(Raw_Data!K64),IFERROR(DATE(VALUE(RIGHT(TRIM(Raw_Data!K64),4)),VALUE(MID(TRIM(Raw_Data!K64),4,2)),VALUE(LEFT(TRIM(Raw_Data!K64),2))),"CHECK"),Raw_Data!K64))</f>
        <v>46167</v>
      </c>
      <c r="L64" s="33" t="str">
        <f aca="false">IF(Raw_Data!L64="","",Raw_Data!L64)</f>
        <v>Water truck did not arrive at the agreed time for three consecutive days.</v>
      </c>
      <c r="M64" s="34" t="n">
        <f aca="false">IF(OR(B64="",K64=""),"",IFERROR(K64-B64,"CHECK"))</f>
        <v>20</v>
      </c>
      <c r="N64" s="34" t="n">
        <f aca="false">IFERROR(INDEX(Reference_Lists!$H$13:$H$14,MATCH(G64,Reference_Lists!$G$13:$G$14,0)),"UNMATCHED")</f>
        <v>15</v>
      </c>
      <c r="O64" s="35" t="b">
        <f aca="false">IF(AND(J64="Closed",ISNUMBER(M64),ISNUMBER(N64),M64&gt;=0),M64&lt;=N64,"NOT ASSESSED")</f>
        <v>0</v>
      </c>
      <c r="P64" s="36" t="str">
        <f aca="false">Raw_Data!A64</f>
        <v>CFM-2026-0424</v>
      </c>
      <c r="Q64" s="37" t="str">
        <f aca="false">IFERROR(IF(OR($A64="",$P64=""),"MISSING ID",IF(EXACT($A64,$P64),"ALIGNED","MISMATCH")),"CHECK")</f>
        <v>ALIGNED</v>
      </c>
    </row>
    <row r="65" customFormat="false" ht="19.5" hidden="false" customHeight="true" outlineLevel="0" collapsed="false">
      <c r="A65" s="29" t="s">
        <v>167</v>
      </c>
      <c r="B65" s="30" t="n">
        <f aca="false">IF(Raw_Data!B65="","",IF(ISTEXT(Raw_Data!B65),IFERROR(DATE(VALUE(RIGHT(TRIM(Raw_Data!B65),4)),VALUE(MID(TRIM(Raw_Data!B65),4,2)),VALUE(LEFT(TRIM(Raw_Data!B65),2))),"CHECK"),Raw_Data!B65))</f>
        <v>46188</v>
      </c>
      <c r="C65" s="31" t="str">
        <f aca="false">IFERROR(INDEX(Reference_Lists!$C$23:$C$35,MATCH(PROPER(TRIM(Raw_Data!C65)),Reference_Lists!$B$23:$B$35,0)),"UNMATCHED")</f>
        <v>Community Focal Point</v>
      </c>
      <c r="D65" s="31" t="str">
        <f aca="false">IFERROR(INDEX(Reference_Lists!$C$36:$C$50,MATCH(PROPER(TRIM(Raw_Data!D65)),Reference_Lists!$B$36:$B$50,0)),"UNMATCHED")</f>
        <v>Deir al-Balah</v>
      </c>
      <c r="E65" s="31" t="str">
        <f aca="false">IF(Raw_Data!E65="","",Raw_Data!E65)</f>
        <v>Nutrition</v>
      </c>
      <c r="F65" s="31" t="str">
        <f aca="false">IF(Raw_Data!F65="","",Raw_Data!F65)</f>
        <v>Suggestion</v>
      </c>
      <c r="G65" s="32" t="str">
        <f aca="false">IF(Raw_Data!G65="","",Raw_Data!G65)</f>
        <v>Non-Sensitive</v>
      </c>
      <c r="H65" s="32" t="str">
        <f aca="false">IFERROR(INDEX(Reference_Lists!$C$51:$C$57,MATCH(PROPER(TRIM(Raw_Data!H65)),Reference_Lists!$B$51:$B$57,0)),"UNMATCHED")</f>
        <v>Female</v>
      </c>
      <c r="I65" s="32" t="str">
        <f aca="false">IF(Raw_Data!I65="","",Raw_Data!I65)</f>
        <v>30-44</v>
      </c>
      <c r="J65" s="32" t="str">
        <f aca="false">IFERROR(INDEX(Reference_Lists!$C$58:$C$65,MATCH(PROPER(TRIM(Raw_Data!J65)),Reference_Lists!$B$58:$B$65,0)),"UNMATCHED")</f>
        <v>Closed</v>
      </c>
      <c r="K65" s="30" t="n">
        <f aca="false">IF(Raw_Data!K65="","",IF(ISTEXT(Raw_Data!K65),IFERROR(DATE(VALUE(RIGHT(TRIM(Raw_Data!K65),4)),VALUE(MID(TRIM(Raw_Data!K65),4,2)),VALUE(LEFT(TRIM(Raw_Data!K65),2))),"CHECK"),Raw_Data!K65))</f>
        <v>46211</v>
      </c>
      <c r="L65" s="33" t="str">
        <f aca="false">IF(Raw_Data!L65="","",Raw_Data!L65)</f>
        <v>Asking whether children above five are included in the screening.</v>
      </c>
      <c r="M65" s="34" t="n">
        <f aca="false">IF(OR(B65="",K65=""),"",IFERROR(K65-B65,"CHECK"))</f>
        <v>23</v>
      </c>
      <c r="N65" s="34" t="n">
        <f aca="false">IFERROR(INDEX(Reference_Lists!$H$13:$H$14,MATCH(G65,Reference_Lists!$G$13:$G$14,0)),"UNMATCHED")</f>
        <v>15</v>
      </c>
      <c r="O65" s="35" t="b">
        <f aca="false">IF(AND(J65="Closed",ISNUMBER(M65),ISNUMBER(N65),M65&gt;=0),M65&lt;=N65,"NOT ASSESSED")</f>
        <v>0</v>
      </c>
      <c r="P65" s="36" t="str">
        <f aca="false">Raw_Data!A65</f>
        <v>CFM-2026-0073</v>
      </c>
      <c r="Q65" s="37" t="str">
        <f aca="false">IFERROR(IF(OR($A65="",$P65=""),"MISSING ID",IF(EXACT($A65,$P65),"ALIGNED","MISMATCH")),"CHECK")</f>
        <v>ALIGNED</v>
      </c>
    </row>
    <row r="66" customFormat="false" ht="19.5" hidden="false" customHeight="true" outlineLevel="0" collapsed="false">
      <c r="A66" s="29" t="s">
        <v>168</v>
      </c>
      <c r="B66" s="30" t="n">
        <f aca="false">IF(Raw_Data!B66="","",IF(ISTEXT(Raw_Data!B66),IFERROR(DATE(VALUE(RIGHT(TRIM(Raw_Data!B66),4)),VALUE(MID(TRIM(Raw_Data!B66),4,2)),VALUE(LEFT(TRIM(Raw_Data!B66),2))),"CHECK"),Raw_Data!B66))</f>
        <v>46154</v>
      </c>
      <c r="C66" s="31" t="str">
        <f aca="false">IFERROR(INDEX(Reference_Lists!$C$23:$C$35,MATCH(PROPER(TRIM(Raw_Data!C66)),Reference_Lists!$B$23:$B$35,0)),"UNMATCHED")</f>
        <v>Help Desk</v>
      </c>
      <c r="D66" s="31" t="str">
        <f aca="false">IFERROR(INDEX(Reference_Lists!$C$36:$C$50,MATCH(PROPER(TRIM(Raw_Data!D66)),Reference_Lists!$B$36:$B$50,0)),"UNMATCHED")</f>
        <v>Rafah</v>
      </c>
      <c r="E66" s="31" t="str">
        <f aca="false">IF(Raw_Data!E66="","",Raw_Data!E66)</f>
        <v>WASH</v>
      </c>
      <c r="F66" s="31" t="str">
        <f aca="false">IF(Raw_Data!F66="","",Raw_Data!F66)</f>
        <v>Sensitive Complaint</v>
      </c>
      <c r="G66" s="32" t="str">
        <f aca="false">IF(Raw_Data!G66="","",Raw_Data!G66)</f>
        <v>Sensitive</v>
      </c>
      <c r="H66" s="32" t="str">
        <f aca="false">IFERROR(INDEX(Reference_Lists!$C$51:$C$57,MATCH(PROPER(TRIM(Raw_Data!H66)),Reference_Lists!$B$51:$B$57,0)),"UNMATCHED")</f>
        <v>Male</v>
      </c>
      <c r="I66" s="32" t="str">
        <f aca="false">IF(Raw_Data!I66="","",Raw_Data!I66)</f>
        <v>45-59</v>
      </c>
      <c r="J66" s="32" t="str">
        <f aca="false">IFERROR(INDEX(Reference_Lists!$C$58:$C$65,MATCH(PROPER(TRIM(Raw_Data!J66)),Reference_Lists!$B$58:$B$65,0)),"UNMATCHED")</f>
        <v>In Progress</v>
      </c>
      <c r="K66" s="30" t="str">
        <f aca="false">IF(Raw_Data!K66="","",IF(ISTEXT(Raw_Data!K66),IFERROR(DATE(VALUE(RIGHT(TRIM(Raw_Data!K66),4)),VALUE(MID(TRIM(Raw_Data!K66),4,2)),VALUE(LEFT(TRIM(Raw_Data!K66),2))),"CHECK"),Raw_Data!K66))</f>
        <v/>
      </c>
      <c r="L66" s="33" t="str">
        <f aca="false">IF(Raw_Data!L66="","",Raw_Data!L66)</f>
        <v>Sensitive case - details recorded separately by the focal point; not stored in this tracker.</v>
      </c>
      <c r="M66" s="34" t="str">
        <f aca="false">IF(OR(B66="",K66=""),"",IFERROR(K66-B66,"CHECK"))</f>
        <v/>
      </c>
      <c r="N66" s="34" t="n">
        <f aca="false">IFERROR(INDEX(Reference_Lists!$H$13:$H$14,MATCH(G66,Reference_Lists!$G$13:$G$14,0)),"UNMATCHED")</f>
        <v>3</v>
      </c>
      <c r="O66" s="32" t="str">
        <f aca="false">IF(AND(J66="Closed",ISNUMBER(M66),ISNUMBER(N66),M66&gt;=0),M66&lt;=N66,"NOT ASSESSED")</f>
        <v>NOT ASSESSED</v>
      </c>
      <c r="P66" s="36" t="str">
        <f aca="false">Raw_Data!A66</f>
        <v>CFM-2026-0133</v>
      </c>
      <c r="Q66" s="37" t="str">
        <f aca="false">IFERROR(IF(OR($A66="",$P66=""),"MISSING ID",IF(EXACT($A66,$P66),"ALIGNED","MISMATCH")),"CHECK")</f>
        <v>ALIGNED</v>
      </c>
    </row>
    <row r="67" customFormat="false" ht="19.5" hidden="false" customHeight="true" outlineLevel="0" collapsed="false">
      <c r="A67" s="29" t="s">
        <v>170</v>
      </c>
      <c r="B67" s="30" t="n">
        <f aca="false">IF(Raw_Data!B67="","",IF(ISTEXT(Raw_Data!B67),IFERROR(DATE(VALUE(RIGHT(TRIM(Raw_Data!B67),4)),VALUE(MID(TRIM(Raw_Data!B67),4,2)),VALUE(LEFT(TRIM(Raw_Data!B67),2))),"CHECK"),Raw_Data!B67))</f>
        <v>46098</v>
      </c>
      <c r="C67" s="31" t="str">
        <f aca="false">IFERROR(INDEX(Reference_Lists!$C$23:$C$35,MATCH(PROPER(TRIM(Raw_Data!C67)),Reference_Lists!$B$23:$B$35,0)),"UNMATCHED")</f>
        <v>Help Desk</v>
      </c>
      <c r="D67" s="31" t="str">
        <f aca="false">IFERROR(INDEX(Reference_Lists!$C$36:$C$50,MATCH(PROPER(TRIM(Raw_Data!D67)),Reference_Lists!$B$36:$B$50,0)),"UNMATCHED")</f>
        <v>Deir al-Balah</v>
      </c>
      <c r="E67" s="31" t="str">
        <f aca="false">IF(Raw_Data!E67="","",Raw_Data!E67)</f>
        <v/>
      </c>
      <c r="F67" s="31" t="str">
        <f aca="false">IF(Raw_Data!F67="","",Raw_Data!F67)</f>
        <v>Request for Information</v>
      </c>
      <c r="G67" s="32" t="str">
        <f aca="false">IF(Raw_Data!G67="","",Raw_Data!G67)</f>
        <v>Non-Sensitive</v>
      </c>
      <c r="H67" s="32" t="str">
        <f aca="false">IFERROR(INDEX(Reference_Lists!$C$51:$C$57,MATCH(PROPER(TRIM(Raw_Data!H67)),Reference_Lists!$B$51:$B$57,0)),"UNMATCHED")</f>
        <v>Female</v>
      </c>
      <c r="I67" s="32" t="str">
        <f aca="false">IF(Raw_Data!I67="","",Raw_Data!I67)</f>
        <v>45-59</v>
      </c>
      <c r="J67" s="32" t="str">
        <f aca="false">IFERROR(INDEX(Reference_Lists!$C$58:$C$65,MATCH(PROPER(TRIM(Raw_Data!J67)),Reference_Lists!$B$58:$B$65,0)),"UNMATCHED")</f>
        <v>Open</v>
      </c>
      <c r="K67" s="30" t="str">
        <f aca="false">IF(Raw_Data!K67="","",IF(ISTEXT(Raw_Data!K67),IFERROR(DATE(VALUE(RIGHT(TRIM(Raw_Data!K67),4)),VALUE(MID(TRIM(Raw_Data!K67),4,2)),VALUE(LEFT(TRIM(Raw_Data!K67),2))),"CHECK"),Raw_Data!K67))</f>
        <v/>
      </c>
      <c r="L67" s="33" t="str">
        <f aca="false">IF(Raw_Data!L67="","",Raw_Data!L67)</f>
        <v>Tarpaulin received is torn and does not cover the shelter area.</v>
      </c>
      <c r="M67" s="34" t="str">
        <f aca="false">IF(OR(B67="",K67=""),"",IFERROR(K67-B67,"CHECK"))</f>
        <v/>
      </c>
      <c r="N67" s="34" t="n">
        <f aca="false">IFERROR(INDEX(Reference_Lists!$H$13:$H$14,MATCH(G67,Reference_Lists!$G$13:$G$14,0)),"UNMATCHED")</f>
        <v>15</v>
      </c>
      <c r="O67" s="32" t="str">
        <f aca="false">IF(AND(J67="Closed",ISNUMBER(M67),ISNUMBER(N67),M67&gt;=0),M67&lt;=N67,"NOT ASSESSED")</f>
        <v>NOT ASSESSED</v>
      </c>
      <c r="P67" s="36" t="str">
        <f aca="false">Raw_Data!A67</f>
        <v>CFM-2026-0324</v>
      </c>
      <c r="Q67" s="37" t="str">
        <f aca="false">IFERROR(IF(OR($A67="",$P67=""),"MISSING ID",IF(EXACT($A67,$P67),"ALIGNED","MISMATCH")),"CHECK")</f>
        <v>ALIGNED</v>
      </c>
    </row>
    <row r="68" customFormat="false" ht="19.5" hidden="false" customHeight="true" outlineLevel="0" collapsed="false">
      <c r="A68" s="29" t="s">
        <v>171</v>
      </c>
      <c r="B68" s="30" t="n">
        <f aca="false">IF(Raw_Data!B68="","",IF(ISTEXT(Raw_Data!B68),IFERROR(DATE(VALUE(RIGHT(TRIM(Raw_Data!B68),4)),VALUE(MID(TRIM(Raw_Data!B68),4,2)),VALUE(LEFT(TRIM(Raw_Data!B68),2))),"CHECK"),Raw_Data!B68))</f>
        <v>46107</v>
      </c>
      <c r="C68" s="31" t="str">
        <f aca="false">IFERROR(INDEX(Reference_Lists!$C$23:$C$35,MATCH(PROPER(TRIM(Raw_Data!C68)),Reference_Lists!$B$23:$B$35,0)),"UNMATCHED")</f>
        <v>Suggestion Box</v>
      </c>
      <c r="D68" s="31" t="str">
        <f aca="false">IFERROR(INDEX(Reference_Lists!$C$36:$C$50,MATCH(PROPER(TRIM(Raw_Data!D68)),Reference_Lists!$B$36:$B$50,0)),"UNMATCHED")</f>
        <v>Khan Yunis</v>
      </c>
      <c r="E68" s="31" t="str">
        <f aca="false">IF(Raw_Data!E68="","",Raw_Data!E68)</f>
        <v/>
      </c>
      <c r="F68" s="31" t="str">
        <f aca="false">IF(Raw_Data!F68="","",Raw_Data!F68)</f>
        <v>Complaint</v>
      </c>
      <c r="G68" s="32" t="str">
        <f aca="false">IF(Raw_Data!G68="","",Raw_Data!G68)</f>
        <v>Non-Sensitive</v>
      </c>
      <c r="H68" s="32" t="str">
        <f aca="false">IFERROR(INDEX(Reference_Lists!$C$51:$C$57,MATCH(PROPER(TRIM(Raw_Data!H68)),Reference_Lists!$B$51:$B$57,0)),"UNMATCHED")</f>
        <v>Female</v>
      </c>
      <c r="I68" s="32" t="str">
        <f aca="false">IF(Raw_Data!I68="","",Raw_Data!I68)</f>
        <v>45-59</v>
      </c>
      <c r="J68" s="32" t="str">
        <f aca="false">IFERROR(INDEX(Reference_Lists!$C$58:$C$65,MATCH(PROPER(TRIM(Raw_Data!J68)),Reference_Lists!$B$58:$B$65,0)),"UNMATCHED")</f>
        <v>Closed</v>
      </c>
      <c r="K68" s="30" t="n">
        <f aca="false">IF(Raw_Data!K68="","",IF(ISTEXT(Raw_Data!K68),IFERROR(DATE(VALUE(RIGHT(TRIM(Raw_Data!K68),4)),VALUE(MID(TRIM(Raw_Data!K68),4,2)),VALUE(LEFT(TRIM(Raw_Data!K68),2))),"CHECK"),Raw_Data!K68))</f>
        <v>46099</v>
      </c>
      <c r="L68" s="33" t="str">
        <f aca="false">IF(Raw_Data!L68="","",Raw_Data!L68)</f>
        <v>Shelter kit delivered on time and the team explained the use clearly.</v>
      </c>
      <c r="M68" s="34" t="n">
        <f aca="false">IF(OR(B68="",K68=""),"",IFERROR(K68-B68,"CHECK"))</f>
        <v>-8</v>
      </c>
      <c r="N68" s="34" t="n">
        <f aca="false">IFERROR(INDEX(Reference_Lists!$H$13:$H$14,MATCH(G68,Reference_Lists!$G$13:$G$14,0)),"UNMATCHED")</f>
        <v>15</v>
      </c>
      <c r="O68" s="32" t="str">
        <f aca="false">IF(AND(J68="Closed",ISNUMBER(M68),ISNUMBER(N68),M68&gt;=0),M68&lt;=N68,"NOT ASSESSED")</f>
        <v>NOT ASSESSED</v>
      </c>
      <c r="P68" s="36" t="str">
        <f aca="false">Raw_Data!A68</f>
        <v>CFM-2026-0207</v>
      </c>
      <c r="Q68" s="37" t="str">
        <f aca="false">IFERROR(IF(OR($A68="",$P68=""),"MISSING ID",IF(EXACT($A68,$P68),"ALIGNED","MISMATCH")),"CHECK")</f>
        <v>ALIGNED</v>
      </c>
    </row>
    <row r="69" customFormat="false" ht="19.5" hidden="false" customHeight="true" outlineLevel="0" collapsed="false">
      <c r="A69" s="29" t="s">
        <v>172</v>
      </c>
      <c r="B69" s="30" t="n">
        <f aca="false">IF(Raw_Data!B69="","",IF(ISTEXT(Raw_Data!B69),IFERROR(DATE(VALUE(RIGHT(TRIM(Raw_Data!B69),4)),VALUE(MID(TRIM(Raw_Data!B69),4,2)),VALUE(LEFT(TRIM(Raw_Data!B69),2))),"CHECK"),Raw_Data!B69))</f>
        <v>46041</v>
      </c>
      <c r="C69" s="31" t="str">
        <f aca="false">IFERROR(INDEX(Reference_Lists!$C$23:$C$35,MATCH(PROPER(TRIM(Raw_Data!C69)),Reference_Lists!$B$23:$B$35,0)),"UNMATCHED")</f>
        <v>Suggestion Box</v>
      </c>
      <c r="D69" s="31" t="str">
        <f aca="false">IFERROR(INDEX(Reference_Lists!$C$36:$C$50,MATCH(PROPER(TRIM(Raw_Data!D69)),Reference_Lists!$B$36:$B$50,0)),"UNMATCHED")</f>
        <v>Nuseirat</v>
      </c>
      <c r="E69" s="31" t="str">
        <f aca="false">IF(Raw_Data!E69="","",Raw_Data!E69)</f>
        <v>Shelter</v>
      </c>
      <c r="F69" s="31" t="str">
        <f aca="false">IF(Raw_Data!F69="","",Raw_Data!F69)</f>
        <v>Complaint</v>
      </c>
      <c r="G69" s="32" t="str">
        <f aca="false">IF(Raw_Data!G69="","",Raw_Data!G69)</f>
        <v>Non-Sensitive</v>
      </c>
      <c r="H69" s="32" t="str">
        <f aca="false">IFERROR(INDEX(Reference_Lists!$C$51:$C$57,MATCH(PROPER(TRIM(Raw_Data!H69)),Reference_Lists!$B$51:$B$57,0)),"UNMATCHED")</f>
        <v>Female</v>
      </c>
      <c r="I69" s="32" t="str">
        <f aca="false">IF(Raw_Data!I69="","",Raw_Data!I69)</f>
        <v>30-44</v>
      </c>
      <c r="J69" s="32" t="str">
        <f aca="false">IFERROR(INDEX(Reference_Lists!$C$58:$C$65,MATCH(PROPER(TRIM(Raw_Data!J69)),Reference_Lists!$B$58:$B$65,0)),"UNMATCHED")</f>
        <v>Closed</v>
      </c>
      <c r="K69" s="30" t="n">
        <f aca="false">IF(Raw_Data!K69="","",IF(ISTEXT(Raw_Data!K69),IFERROR(DATE(VALUE(RIGHT(TRIM(Raw_Data!K69),4)),VALUE(MID(TRIM(Raw_Data!K69),4,2)),VALUE(LEFT(TRIM(Raw_Data!K69),2))),"CHECK"),Raw_Data!K69))</f>
        <v>46066</v>
      </c>
      <c r="L69" s="33" t="str">
        <f aca="false">IF(Raw_Data!L69="","",Raw_Data!L69)</f>
        <v>Requesting information about the criteria for shelter repair kits.</v>
      </c>
      <c r="M69" s="34" t="n">
        <f aca="false">IF(OR(B69="",K69=""),"",IFERROR(K69-B69,"CHECK"))</f>
        <v>25</v>
      </c>
      <c r="N69" s="34" t="n">
        <f aca="false">IFERROR(INDEX(Reference_Lists!$H$13:$H$14,MATCH(G69,Reference_Lists!$G$13:$G$14,0)),"UNMATCHED")</f>
        <v>15</v>
      </c>
      <c r="O69" s="35" t="b">
        <f aca="false">IF(AND(J69="Closed",ISNUMBER(M69),ISNUMBER(N69),M69&gt;=0),M69&lt;=N69,"NOT ASSESSED")</f>
        <v>0</v>
      </c>
      <c r="P69" s="36" t="str">
        <f aca="false">Raw_Data!A69</f>
        <v>CFM-2026-0033</v>
      </c>
      <c r="Q69" s="37" t="str">
        <f aca="false">IFERROR(IF(OR($A69="",$P69=""),"MISSING ID",IF(EXACT($A69,$P69),"ALIGNED","MISMATCH")),"CHECK")</f>
        <v>ALIGNED</v>
      </c>
    </row>
    <row r="70" customFormat="false" ht="19.5" hidden="false" customHeight="true" outlineLevel="0" collapsed="false">
      <c r="A70" s="29" t="s">
        <v>173</v>
      </c>
      <c r="B70" s="30" t="n">
        <f aca="false">IF(Raw_Data!B70="","",IF(ISTEXT(Raw_Data!B70),IFERROR(DATE(VALUE(RIGHT(TRIM(Raw_Data!B70),4)),VALUE(MID(TRIM(Raw_Data!B70),4,2)),VALUE(LEFT(TRIM(Raw_Data!B70),2))),"CHECK"),Raw_Data!B70))</f>
        <v>46070</v>
      </c>
      <c r="C70" s="31" t="str">
        <f aca="false">IFERROR(INDEX(Reference_Lists!$C$23:$C$35,MATCH(PROPER(TRIM(Raw_Data!C70)),Reference_Lists!$B$23:$B$35,0)),"UNMATCHED")</f>
        <v>Suggestion Box</v>
      </c>
      <c r="D70" s="31" t="str">
        <f aca="false">IFERROR(INDEX(Reference_Lists!$C$36:$C$50,MATCH(PROPER(TRIM(Raw_Data!D70)),Reference_Lists!$B$36:$B$50,0)),"UNMATCHED")</f>
        <v>Deir al-Balah</v>
      </c>
      <c r="E70" s="31" t="str">
        <f aca="false">IF(Raw_Data!E70="","",Raw_Data!E70)</f>
        <v>WASH</v>
      </c>
      <c r="F70" s="31" t="str">
        <f aca="false">IF(Raw_Data!F70="","",Raw_Data!F70)</f>
        <v>Request for Information</v>
      </c>
      <c r="G70" s="32" t="str">
        <f aca="false">IF(Raw_Data!G70="","",Raw_Data!G70)</f>
        <v>Non-Sensitive</v>
      </c>
      <c r="H70" s="32" t="str">
        <f aca="false">IFERROR(INDEX(Reference_Lists!$C$51:$C$57,MATCH(PROPER(TRIM(Raw_Data!H70)),Reference_Lists!$B$51:$B$57,0)),"UNMATCHED")</f>
        <v>Female</v>
      </c>
      <c r="I70" s="32" t="str">
        <f aca="false">IF(Raw_Data!I70="","",Raw_Data!I70)</f>
        <v>30-44</v>
      </c>
      <c r="J70" s="32" t="str">
        <f aca="false">IFERROR(INDEX(Reference_Lists!$C$58:$C$65,MATCH(PROPER(TRIM(Raw_Data!J70)),Reference_Lists!$B$58:$B$65,0)),"UNMATCHED")</f>
        <v>In Progress</v>
      </c>
      <c r="K70" s="30" t="str">
        <f aca="false">IF(Raw_Data!K70="","",IF(ISTEXT(Raw_Data!K70),IFERROR(DATE(VALUE(RIGHT(TRIM(Raw_Data!K70),4)),VALUE(MID(TRIM(Raw_Data!K70),4,2)),VALUE(LEFT(TRIM(Raw_Data!K70),2))),"CHECK"),Raw_Data!K70))</f>
        <v/>
      </c>
      <c r="L70" s="33" t="str">
        <f aca="false">IF(Raw_Data!L70="","",Raw_Data!L70)</f>
        <v>Requesting additional jerrycans for a shared shelter of four families.</v>
      </c>
      <c r="M70" s="34" t="str">
        <f aca="false">IF(OR(B70="",K70=""),"",IFERROR(K70-B70,"CHECK"))</f>
        <v/>
      </c>
      <c r="N70" s="34" t="n">
        <f aca="false">IFERROR(INDEX(Reference_Lists!$H$13:$H$14,MATCH(G70,Reference_Lists!$G$13:$G$14,0)),"UNMATCHED")</f>
        <v>15</v>
      </c>
      <c r="O70" s="32" t="str">
        <f aca="false">IF(AND(J70="Closed",ISNUMBER(M70),ISNUMBER(N70),M70&gt;=0),M70&lt;=N70,"NOT ASSESSED")</f>
        <v>NOT ASSESSED</v>
      </c>
      <c r="P70" s="36" t="str">
        <f aca="false">Raw_Data!A70</f>
        <v>CFM-2026-0113</v>
      </c>
      <c r="Q70" s="37" t="str">
        <f aca="false">IFERROR(IF(OR($A70="",$P70=""),"MISSING ID",IF(EXACT($A70,$P70),"ALIGNED","MISMATCH")),"CHECK")</f>
        <v>ALIGNED</v>
      </c>
    </row>
    <row r="71" customFormat="false" ht="19.5" hidden="false" customHeight="true" outlineLevel="0" collapsed="false">
      <c r="A71" s="29" t="s">
        <v>174</v>
      </c>
      <c r="B71" s="30" t="n">
        <f aca="false">IF(Raw_Data!B71="","",IF(ISTEXT(Raw_Data!B71),IFERROR(DATE(VALUE(RIGHT(TRIM(Raw_Data!B71),4)),VALUE(MID(TRIM(Raw_Data!B71),4,2)),VALUE(LEFT(TRIM(Raw_Data!B71),2))),"CHECK"),Raw_Data!B71))</f>
        <v>46123</v>
      </c>
      <c r="C71" s="31" t="str">
        <f aca="false">IFERROR(INDEX(Reference_Lists!$C$23:$C$35,MATCH(PROPER(TRIM(Raw_Data!C71)),Reference_Lists!$B$23:$B$35,0)),"UNMATCHED")</f>
        <v>Help Desk</v>
      </c>
      <c r="D71" s="31" t="str">
        <f aca="false">IFERROR(INDEX(Reference_Lists!$C$36:$C$50,MATCH(PROPER(TRIM(Raw_Data!D71)),Reference_Lists!$B$36:$B$50,0)),"UNMATCHED")</f>
        <v>Rafah</v>
      </c>
      <c r="E71" s="31" t="str">
        <f aca="false">IF(Raw_Data!E71="","",Raw_Data!E71)</f>
        <v>Shelter</v>
      </c>
      <c r="F71" s="31" t="str">
        <f aca="false">IF(Raw_Data!F71="","",Raw_Data!F71)</f>
        <v>Suggestion</v>
      </c>
      <c r="G71" s="32" t="str">
        <f aca="false">IF(Raw_Data!G71="","",Raw_Data!G71)</f>
        <v>Non-Sensitive</v>
      </c>
      <c r="H71" s="32" t="str">
        <f aca="false">IFERROR(INDEX(Reference_Lists!$C$51:$C$57,MATCH(PROPER(TRIM(Raw_Data!H71)),Reference_Lists!$B$51:$B$57,0)),"UNMATCHED")</f>
        <v>Male</v>
      </c>
      <c r="I71" s="32" t="str">
        <f aca="false">IF(Raw_Data!I71="","",Raw_Data!I71)</f>
        <v>30-44</v>
      </c>
      <c r="J71" s="32" t="str">
        <f aca="false">IFERROR(INDEX(Reference_Lists!$C$58:$C$65,MATCH(PROPER(TRIM(Raw_Data!J71)),Reference_Lists!$B$58:$B$65,0)),"UNMATCHED")</f>
        <v>Closed</v>
      </c>
      <c r="K71" s="30" t="n">
        <f aca="false">IF(Raw_Data!K71="","",IF(ISTEXT(Raw_Data!K71),IFERROR(DATE(VALUE(RIGHT(TRIM(Raw_Data!K71),4)),VALUE(MID(TRIM(Raw_Data!K71),4,2)),VALUE(LEFT(TRIM(Raw_Data!K71),2))),"CHECK"),Raw_Data!K71))</f>
        <v>46138</v>
      </c>
      <c r="L71" s="33" t="str">
        <f aca="false">IF(Raw_Data!L71="","",Raw_Data!L71)</f>
        <v>Requesting information about the criteria for shelter repair kits.</v>
      </c>
      <c r="M71" s="34" t="n">
        <f aca="false">IF(OR(B71="",K71=""),"",IFERROR(K71-B71,"CHECK"))</f>
        <v>15</v>
      </c>
      <c r="N71" s="34" t="n">
        <f aca="false">IFERROR(INDEX(Reference_Lists!$H$13:$H$14,MATCH(G71,Reference_Lists!$G$13:$G$14,0)),"UNMATCHED")</f>
        <v>15</v>
      </c>
      <c r="O71" s="35" t="b">
        <f aca="false">IF(AND(J71="Closed",ISNUMBER(M71),ISNUMBER(N71),M71&gt;=0),M71&lt;=N71,"NOT ASSESSED")</f>
        <v>1</v>
      </c>
      <c r="P71" s="36" t="str">
        <f aca="false">Raw_Data!A71</f>
        <v>CFM-2026-0309</v>
      </c>
      <c r="Q71" s="37" t="str">
        <f aca="false">IFERROR(IF(OR($A71="",$P71=""),"MISSING ID",IF(EXACT($A71,$P71),"ALIGNED","MISMATCH")),"CHECK")</f>
        <v>ALIGNED</v>
      </c>
    </row>
    <row r="72" customFormat="false" ht="19.5" hidden="false" customHeight="true" outlineLevel="0" collapsed="false">
      <c r="A72" s="29" t="s">
        <v>175</v>
      </c>
      <c r="B72" s="30" t="n">
        <f aca="false">IF(Raw_Data!B72="","",IF(ISTEXT(Raw_Data!B72),IFERROR(DATE(VALUE(RIGHT(TRIM(Raw_Data!B72),4)),VALUE(MID(TRIM(Raw_Data!B72),4,2)),VALUE(LEFT(TRIM(Raw_Data!B72),2))),"CHECK"),Raw_Data!B72))</f>
        <v>46181</v>
      </c>
      <c r="C72" s="31" t="str">
        <f aca="false">IFERROR(INDEX(Reference_Lists!$C$23:$C$35,MATCH(PROPER(TRIM(Raw_Data!C72)),Reference_Lists!$B$23:$B$35,0)),"UNMATCHED")</f>
        <v>In-Person at Distribution</v>
      </c>
      <c r="D72" s="31" t="str">
        <f aca="false">IFERROR(INDEX(Reference_Lists!$C$36:$C$50,MATCH(PROPER(TRIM(Raw_Data!D72)),Reference_Lists!$B$36:$B$50,0)),"UNMATCHED")</f>
        <v>Nuseirat</v>
      </c>
      <c r="E72" s="31" t="str">
        <f aca="false">IF(Raw_Data!E72="","",Raw_Data!E72)</f>
        <v>Shelter</v>
      </c>
      <c r="F72" s="31" t="str">
        <f aca="false">IF(Raw_Data!F72="","",Raw_Data!F72)</f>
        <v>Complaint</v>
      </c>
      <c r="G72" s="32" t="str">
        <f aca="false">IF(Raw_Data!G72="","",Raw_Data!G72)</f>
        <v>Non-Sensitive</v>
      </c>
      <c r="H72" s="32" t="str">
        <f aca="false">IFERROR(INDEX(Reference_Lists!$C$51:$C$57,MATCH(PROPER(TRIM(Raw_Data!H72)),Reference_Lists!$B$51:$B$57,0)),"UNMATCHED")</f>
        <v>Female</v>
      </c>
      <c r="I72" s="32" t="str">
        <f aca="false">IF(Raw_Data!I72="","",Raw_Data!I72)</f>
        <v>18-29</v>
      </c>
      <c r="J72" s="32" t="str">
        <f aca="false">IFERROR(INDEX(Reference_Lists!$C$58:$C$65,MATCH(PROPER(TRIM(Raw_Data!J72)),Reference_Lists!$B$58:$B$65,0)),"UNMATCHED")</f>
        <v>In Progress</v>
      </c>
      <c r="K72" s="30" t="str">
        <f aca="false">IF(Raw_Data!K72="","",IF(ISTEXT(Raw_Data!K72),IFERROR(DATE(VALUE(RIGHT(TRIM(Raw_Data!K72),4)),VALUE(MID(TRIM(Raw_Data!K72),4,2)),VALUE(LEFT(TRIM(Raw_Data!K72),2))),"CHECK"),Raw_Data!K72))</f>
        <v/>
      </c>
      <c r="L72" s="33" t="str">
        <f aca="false">IF(Raw_Data!L72="","",Raw_Data!L72)</f>
        <v>Shelter kit delivered on time and the team explained the use clearly.</v>
      </c>
      <c r="M72" s="34" t="str">
        <f aca="false">IF(OR(B72="",K72=""),"",IFERROR(K72-B72,"CHECK"))</f>
        <v/>
      </c>
      <c r="N72" s="34" t="n">
        <f aca="false">IFERROR(INDEX(Reference_Lists!$H$13:$H$14,MATCH(G72,Reference_Lists!$G$13:$G$14,0)),"UNMATCHED")</f>
        <v>15</v>
      </c>
      <c r="O72" s="32" t="str">
        <f aca="false">IF(AND(J72="Closed",ISNUMBER(M72),ISNUMBER(N72),M72&gt;=0),M72&lt;=N72,"NOT ASSESSED")</f>
        <v>NOT ASSESSED</v>
      </c>
      <c r="P72" s="36" t="str">
        <f aca="false">Raw_Data!A72</f>
        <v>CFM-2026-0467</v>
      </c>
      <c r="Q72" s="37" t="str">
        <f aca="false">IFERROR(IF(OR($A72="",$P72=""),"MISSING ID",IF(EXACT($A72,$P72),"ALIGNED","MISMATCH")),"CHECK")</f>
        <v>ALIGNED</v>
      </c>
    </row>
    <row r="73" customFormat="false" ht="19.5" hidden="false" customHeight="true" outlineLevel="0" collapsed="false">
      <c r="A73" s="29" t="s">
        <v>176</v>
      </c>
      <c r="B73" s="30" t="n">
        <f aca="false">IF(Raw_Data!B73="","",IF(ISTEXT(Raw_Data!B73),IFERROR(DATE(VALUE(RIGHT(TRIM(Raw_Data!B73),4)),VALUE(MID(TRIM(Raw_Data!B73),4,2)),VALUE(LEFT(TRIM(Raw_Data!B73),2))),"CHECK"),Raw_Data!B73))</f>
        <v>46223</v>
      </c>
      <c r="C73" s="31" t="str">
        <f aca="false">IFERROR(INDEX(Reference_Lists!$C$23:$C$35,MATCH(PROPER(TRIM(Raw_Data!C73)),Reference_Lists!$B$23:$B$35,0)),"UNMATCHED")</f>
        <v>Help Desk</v>
      </c>
      <c r="D73" s="31" t="str">
        <f aca="false">IFERROR(INDEX(Reference_Lists!$C$36:$C$50,MATCH(PROPER(TRIM(Raw_Data!D73)),Reference_Lists!$B$36:$B$50,0)),"UNMATCHED")</f>
        <v>Gaza City</v>
      </c>
      <c r="E73" s="31" t="str">
        <f aca="false">IF(Raw_Data!E73="","",Raw_Data!E73)</f>
        <v>Health</v>
      </c>
      <c r="F73" s="31" t="str">
        <f aca="false">IF(Raw_Data!F73="","",Raw_Data!F73)</f>
        <v>Request for Information</v>
      </c>
      <c r="G73" s="32" t="str">
        <f aca="false">IF(Raw_Data!G73="","",Raw_Data!G73)</f>
        <v>Non-Sensitive</v>
      </c>
      <c r="H73" s="32" t="str">
        <f aca="false">IFERROR(INDEX(Reference_Lists!$C$51:$C$57,MATCH(PROPER(TRIM(Raw_Data!H73)),Reference_Lists!$B$51:$B$57,0)),"UNMATCHED")</f>
        <v>Female</v>
      </c>
      <c r="I73" s="32" t="str">
        <f aca="false">IF(Raw_Data!I73="","",Raw_Data!I73)</f>
        <v>30-44</v>
      </c>
      <c r="J73" s="32" t="str">
        <f aca="false">IFERROR(INDEX(Reference_Lists!$C$58:$C$65,MATCH(PROPER(TRIM(Raw_Data!J73)),Reference_Lists!$B$58:$B$65,0)),"UNMATCHED")</f>
        <v>Open</v>
      </c>
      <c r="K73" s="30" t="str">
        <f aca="false">IF(Raw_Data!K73="","",IF(ISTEXT(Raw_Data!K73),IFERROR(DATE(VALUE(RIGHT(TRIM(Raw_Data!K73),4)),VALUE(MID(TRIM(Raw_Data!K73),4,2)),VALUE(LEFT(TRIM(Raw_Data!K73),2))),"CHECK"),Raw_Data!K73))</f>
        <v/>
      </c>
      <c r="L73" s="33" t="str">
        <f aca="false">IF(Raw_Data!L73="","",Raw_Data!L73)</f>
        <v>Waiting time at the mobile clinic is long during afternoon hours.</v>
      </c>
      <c r="M73" s="34" t="str">
        <f aca="false">IF(OR(B73="",K73=""),"",IFERROR(K73-B73,"CHECK"))</f>
        <v/>
      </c>
      <c r="N73" s="34" t="n">
        <f aca="false">IFERROR(INDEX(Reference_Lists!$H$13:$H$14,MATCH(G73,Reference_Lists!$G$13:$G$14,0)),"UNMATCHED")</f>
        <v>15</v>
      </c>
      <c r="O73" s="32" t="str">
        <f aca="false">IF(AND(J73="Closed",ISNUMBER(M73),ISNUMBER(N73),M73&gt;=0),M73&lt;=N73,"NOT ASSESSED")</f>
        <v>NOT ASSESSED</v>
      </c>
      <c r="P73" s="36" t="str">
        <f aca="false">Raw_Data!A73</f>
        <v>CFM-2026-0172</v>
      </c>
      <c r="Q73" s="37" t="str">
        <f aca="false">IFERROR(IF(OR($A73="",$P73=""),"MISSING ID",IF(EXACT($A73,$P73),"ALIGNED","MISMATCH")),"CHECK")</f>
        <v>ALIGNED</v>
      </c>
    </row>
    <row r="74" customFormat="false" ht="19.5" hidden="false" customHeight="true" outlineLevel="0" collapsed="false">
      <c r="A74" s="29" t="s">
        <v>177</v>
      </c>
      <c r="B74" s="30" t="n">
        <f aca="false">IF(Raw_Data!B74="","",IF(ISTEXT(Raw_Data!B74),IFERROR(DATE(VALUE(RIGHT(TRIM(Raw_Data!B74),4)),VALUE(MID(TRIM(Raw_Data!B74),4,2)),VALUE(LEFT(TRIM(Raw_Data!B74),2))),"CHECK"),Raw_Data!B74))</f>
        <v>46072</v>
      </c>
      <c r="C74" s="31" t="str">
        <f aca="false">IFERROR(INDEX(Reference_Lists!$C$23:$C$35,MATCH(PROPER(TRIM(Raw_Data!C74)),Reference_Lists!$B$23:$B$35,0)),"UNMATCHED")</f>
        <v>Help Desk</v>
      </c>
      <c r="D74" s="31" t="str">
        <f aca="false">IFERROR(INDEX(Reference_Lists!$C$36:$C$50,MATCH(PROPER(TRIM(Raw_Data!D74)),Reference_Lists!$B$36:$B$50,0)),"UNMATCHED")</f>
        <v>Khan Yunis</v>
      </c>
      <c r="E74" s="31" t="str">
        <f aca="false">IF(Raw_Data!E74="","",Raw_Data!E74)</f>
        <v>Food Security</v>
      </c>
      <c r="F74" s="31" t="str">
        <f aca="false">IF(Raw_Data!F74="","",Raw_Data!F74)</f>
        <v>Complaint</v>
      </c>
      <c r="G74" s="32" t="str">
        <f aca="false">IF(Raw_Data!G74="","",Raw_Data!G74)</f>
        <v>Non-Sensitive</v>
      </c>
      <c r="H74" s="32" t="str">
        <f aca="false">IFERROR(INDEX(Reference_Lists!$C$51:$C$57,MATCH(PROPER(TRIM(Raw_Data!H74)),Reference_Lists!$B$51:$B$57,0)),"UNMATCHED")</f>
        <v>Female</v>
      </c>
      <c r="I74" s="32" t="str">
        <f aca="false">IF(Raw_Data!I74="","",Raw_Data!I74)</f>
        <v>30-44</v>
      </c>
      <c r="J74" s="32" t="str">
        <f aca="false">IFERROR(INDEX(Reference_Lists!$C$58:$C$65,MATCH(PROPER(TRIM(Raw_Data!J74)),Reference_Lists!$B$58:$B$65,0)),"UNMATCHED")</f>
        <v>Closed</v>
      </c>
      <c r="K74" s="30" t="n">
        <f aca="false">IF(Raw_Data!K74="","",IF(ISTEXT(Raw_Data!K74),IFERROR(DATE(VALUE(RIGHT(TRIM(Raw_Data!K74),4)),VALUE(MID(TRIM(Raw_Data!K74),4,2)),VALUE(LEFT(TRIM(Raw_Data!K74),2))),"CHECK"),Raw_Data!K74))</f>
        <v>46080</v>
      </c>
      <c r="L74" s="33" t="str">
        <f aca="false">IF(Raw_Data!L74="","",Raw_Data!L74)</f>
        <v>Food parcel contents did not match the announced list.</v>
      </c>
      <c r="M74" s="34" t="n">
        <f aca="false">IF(OR(B74="",K74=""),"",IFERROR(K74-B74,"CHECK"))</f>
        <v>8</v>
      </c>
      <c r="N74" s="34" t="n">
        <f aca="false">IFERROR(INDEX(Reference_Lists!$H$13:$H$14,MATCH(G74,Reference_Lists!$G$13:$G$14,0)),"UNMATCHED")</f>
        <v>15</v>
      </c>
      <c r="O74" s="35" t="b">
        <f aca="false">IF(AND(J74="Closed",ISNUMBER(M74),ISNUMBER(N74),M74&gt;=0),M74&lt;=N74,"NOT ASSESSED")</f>
        <v>1</v>
      </c>
      <c r="P74" s="36" t="str">
        <f aca="false">Raw_Data!A74</f>
        <v>CFM-2026-0180</v>
      </c>
      <c r="Q74" s="37" t="str">
        <f aca="false">IFERROR(IF(OR($A74="",$P74=""),"MISSING ID",IF(EXACT($A74,$P74),"ALIGNED","MISMATCH")),"CHECK")</f>
        <v>ALIGNED</v>
      </c>
    </row>
    <row r="75" customFormat="false" ht="19.5" hidden="false" customHeight="true" outlineLevel="0" collapsed="false">
      <c r="A75" s="29" t="s">
        <v>178</v>
      </c>
      <c r="B75" s="30" t="n">
        <f aca="false">IF(Raw_Data!B75="","",IF(ISTEXT(Raw_Data!B75),IFERROR(DATE(VALUE(RIGHT(TRIM(Raw_Data!B75),4)),VALUE(MID(TRIM(Raw_Data!B75),4,2)),VALUE(LEFT(TRIM(Raw_Data!B75),2))),"CHECK"),Raw_Data!B75))</f>
        <v>46191</v>
      </c>
      <c r="C75" s="31" t="str">
        <f aca="false">IFERROR(INDEX(Reference_Lists!$C$23:$C$35,MATCH(PROPER(TRIM(Raw_Data!C75)),Reference_Lists!$B$23:$B$35,0)),"UNMATCHED")</f>
        <v>Community Focal Point</v>
      </c>
      <c r="D75" s="31" t="str">
        <f aca="false">IFERROR(INDEX(Reference_Lists!$C$36:$C$50,MATCH(PROPER(TRIM(Raw_Data!D75)),Reference_Lists!$B$36:$B$50,0)),"UNMATCHED")</f>
        <v>Khan Yunis</v>
      </c>
      <c r="E75" s="31" t="str">
        <f aca="false">IF(Raw_Data!E75="","",Raw_Data!E75)</f>
        <v>Shelter</v>
      </c>
      <c r="F75" s="31" t="str">
        <f aca="false">IF(Raw_Data!F75="","",Raw_Data!F75)</f>
        <v>Request for Information</v>
      </c>
      <c r="G75" s="32" t="str">
        <f aca="false">IF(Raw_Data!G75="","",Raw_Data!G75)</f>
        <v>Non-Sensitive</v>
      </c>
      <c r="H75" s="32" t="str">
        <f aca="false">IFERROR(INDEX(Reference_Lists!$C$51:$C$57,MATCH(PROPER(TRIM(Raw_Data!H75)),Reference_Lists!$B$51:$B$57,0)),"UNMATCHED")</f>
        <v>Prefer not to say</v>
      </c>
      <c r="I75" s="32" t="str">
        <f aca="false">IF(Raw_Data!I75="","",Raw_Data!I75)</f>
        <v>18-29</v>
      </c>
      <c r="J75" s="32" t="str">
        <f aca="false">IFERROR(INDEX(Reference_Lists!$C$58:$C$65,MATCH(PROPER(TRIM(Raw_Data!J75)),Reference_Lists!$B$58:$B$65,0)),"UNMATCHED")</f>
        <v>In Progress</v>
      </c>
      <c r="K75" s="30" t="str">
        <f aca="false">IF(Raw_Data!K75="","",IF(ISTEXT(Raw_Data!K75),IFERROR(DATE(VALUE(RIGHT(TRIM(Raw_Data!K75),4)),VALUE(MID(TRIM(Raw_Data!K75),4,2)),VALUE(LEFT(TRIM(Raw_Data!K75),2))),"CHECK"),Raw_Data!K75))</f>
        <v/>
      </c>
      <c r="L75" s="33" t="str">
        <f aca="false">IF(Raw_Data!L75="","",Raw_Data!L75)</f>
        <v>Tarpaulin received is torn and does not cover the shelter area.</v>
      </c>
      <c r="M75" s="34" t="str">
        <f aca="false">IF(OR(B75="",K75=""),"",IFERROR(K75-B75,"CHECK"))</f>
        <v/>
      </c>
      <c r="N75" s="34" t="n">
        <f aca="false">IFERROR(INDEX(Reference_Lists!$H$13:$H$14,MATCH(G75,Reference_Lists!$G$13:$G$14,0)),"UNMATCHED")</f>
        <v>15</v>
      </c>
      <c r="O75" s="32" t="str">
        <f aca="false">IF(AND(J75="Closed",ISNUMBER(M75),ISNUMBER(N75),M75&gt;=0),M75&lt;=N75,"NOT ASSESSED")</f>
        <v>NOT ASSESSED</v>
      </c>
      <c r="P75" s="36" t="str">
        <f aca="false">Raw_Data!A75</f>
        <v>CFM-2026-0242</v>
      </c>
      <c r="Q75" s="37" t="str">
        <f aca="false">IFERROR(IF(OR($A75="",$P75=""),"MISSING ID",IF(EXACT($A75,$P75),"ALIGNED","MISMATCH")),"CHECK")</f>
        <v>ALIGNED</v>
      </c>
    </row>
    <row r="76" customFormat="false" ht="19.5" hidden="false" customHeight="true" outlineLevel="0" collapsed="false">
      <c r="A76" s="29" t="s">
        <v>180</v>
      </c>
      <c r="B76" s="30" t="n">
        <f aca="false">IF(Raw_Data!B76="","",IF(ISTEXT(Raw_Data!B76),IFERROR(DATE(VALUE(RIGHT(TRIM(Raw_Data!B76),4)),VALUE(MID(TRIM(Raw_Data!B76),4,2)),VALUE(LEFT(TRIM(Raw_Data!B76),2))),"CHECK"),Raw_Data!B76))</f>
        <v>46166</v>
      </c>
      <c r="C76" s="31" t="str">
        <f aca="false">IFERROR(INDEX(Reference_Lists!$C$23:$C$35,MATCH(PROPER(TRIM(Raw_Data!C76)),Reference_Lists!$B$23:$B$35,0)),"UNMATCHED")</f>
        <v>Suggestion Box</v>
      </c>
      <c r="D76" s="31" t="str">
        <f aca="false">IFERROR(INDEX(Reference_Lists!$C$36:$C$50,MATCH(PROPER(TRIM(Raw_Data!D76)),Reference_Lists!$B$36:$B$50,0)),"UNMATCHED")</f>
        <v>Khan Yunis</v>
      </c>
      <c r="E76" s="31" t="str">
        <f aca="false">IF(Raw_Data!E76="","",Raw_Data!E76)</f>
        <v>Shelter</v>
      </c>
      <c r="F76" s="31" t="str">
        <f aca="false">IF(Raw_Data!F76="","",Raw_Data!F76)</f>
        <v>Suggestion</v>
      </c>
      <c r="G76" s="32" t="str">
        <f aca="false">IF(Raw_Data!G76="","",Raw_Data!G76)</f>
        <v>Non-Sensitive</v>
      </c>
      <c r="H76" s="32" t="str">
        <f aca="false">IFERROR(INDEX(Reference_Lists!$C$51:$C$57,MATCH(PROPER(TRIM(Raw_Data!H76)),Reference_Lists!$B$51:$B$57,0)),"UNMATCHED")</f>
        <v>Male</v>
      </c>
      <c r="I76" s="32" t="str">
        <f aca="false">IF(Raw_Data!I76="","",Raw_Data!I76)</f>
        <v>18-29</v>
      </c>
      <c r="J76" s="32" t="str">
        <f aca="false">IFERROR(INDEX(Reference_Lists!$C$58:$C$65,MATCH(PROPER(TRIM(Raw_Data!J76)),Reference_Lists!$B$58:$B$65,0)),"UNMATCHED")</f>
        <v>Closed</v>
      </c>
      <c r="K76" s="30" t="n">
        <f aca="false">IF(Raw_Data!K76="","",IF(ISTEXT(Raw_Data!K76),IFERROR(DATE(VALUE(RIGHT(TRIM(Raw_Data!K76),4)),VALUE(MID(TRIM(Raw_Data!K76),4,2)),VALUE(LEFT(TRIM(Raw_Data!K76),2))),"CHECK"),Raw_Data!K76))</f>
        <v>46178</v>
      </c>
      <c r="L76" s="33" t="str">
        <f aca="false">IF(Raw_Data!L76="","",Raw_Data!L76)</f>
        <v>Requesting information about the criteria for shelter repair kits.</v>
      </c>
      <c r="M76" s="34" t="n">
        <f aca="false">IF(OR(B76="",K76=""),"",IFERROR(K76-B76,"CHECK"))</f>
        <v>12</v>
      </c>
      <c r="N76" s="34" t="n">
        <f aca="false">IFERROR(INDEX(Reference_Lists!$H$13:$H$14,MATCH(G76,Reference_Lists!$G$13:$G$14,0)),"UNMATCHED")</f>
        <v>15</v>
      </c>
      <c r="O76" s="35" t="b">
        <f aca="false">IF(AND(J76="Closed",ISNUMBER(M76),ISNUMBER(N76),M76&gt;=0),M76&lt;=N76,"NOT ASSESSED")</f>
        <v>1</v>
      </c>
      <c r="P76" s="36" t="str">
        <f aca="false">Raw_Data!A76</f>
        <v>CFM-2026-0461</v>
      </c>
      <c r="Q76" s="37" t="str">
        <f aca="false">IFERROR(IF(OR($A76="",$P76=""),"MISSING ID",IF(EXACT($A76,$P76),"ALIGNED","MISMATCH")),"CHECK")</f>
        <v>ALIGNED</v>
      </c>
    </row>
    <row r="77" customFormat="false" ht="19.5" hidden="false" customHeight="true" outlineLevel="0" collapsed="false">
      <c r="A77" s="29" t="s">
        <v>181</v>
      </c>
      <c r="B77" s="30" t="n">
        <f aca="false">IF(Raw_Data!B77="","",IF(ISTEXT(Raw_Data!B77),IFERROR(DATE(VALUE(RIGHT(TRIM(Raw_Data!B77),4)),VALUE(MID(TRIM(Raw_Data!B77),4,2)),VALUE(LEFT(TRIM(Raw_Data!B77),2))),"CHECK"),Raw_Data!B77))</f>
        <v>46215</v>
      </c>
      <c r="C77" s="31" t="str">
        <f aca="false">IFERROR(INDEX(Reference_Lists!$C$23:$C$35,MATCH(PROPER(TRIM(Raw_Data!C77)),Reference_Lists!$B$23:$B$35,0)),"UNMATCHED")</f>
        <v>Suggestion Box</v>
      </c>
      <c r="D77" s="31" t="str">
        <f aca="false">IFERROR(INDEX(Reference_Lists!$C$36:$C$50,MATCH(PROPER(TRIM(Raw_Data!D77)),Reference_Lists!$B$36:$B$50,0)),"UNMATCHED")</f>
        <v>Khan Yunis</v>
      </c>
      <c r="E77" s="31" t="str">
        <f aca="false">IF(Raw_Data!E77="","",Raw_Data!E77)</f>
        <v>Food Security</v>
      </c>
      <c r="F77" s="31" t="str">
        <f aca="false">IF(Raw_Data!F77="","",Raw_Data!F77)</f>
        <v>Complaint</v>
      </c>
      <c r="G77" s="32" t="str">
        <f aca="false">IF(Raw_Data!G77="","",Raw_Data!G77)</f>
        <v>Non-Sensitive</v>
      </c>
      <c r="H77" s="32" t="str">
        <f aca="false">IFERROR(INDEX(Reference_Lists!$C$51:$C$57,MATCH(PROPER(TRIM(Raw_Data!H77)),Reference_Lists!$B$51:$B$57,0)),"UNMATCHED")</f>
        <v>Female</v>
      </c>
      <c r="I77" s="32" t="str">
        <f aca="false">IF(Raw_Data!I77="","",Raw_Data!I77)</f>
        <v>Under 18</v>
      </c>
      <c r="J77" s="32" t="str">
        <f aca="false">IFERROR(INDEX(Reference_Lists!$C$58:$C$65,MATCH(PROPER(TRIM(Raw_Data!J77)),Reference_Lists!$B$58:$B$65,0)),"UNMATCHED")</f>
        <v>Open</v>
      </c>
      <c r="K77" s="30" t="str">
        <f aca="false">IF(Raw_Data!K77="","",IF(ISTEXT(Raw_Data!K77),IFERROR(DATE(VALUE(RIGHT(TRIM(Raw_Data!K77),4)),VALUE(MID(TRIM(Raw_Data!K77),4,2)),VALUE(LEFT(TRIM(Raw_Data!K77),2))),"CHECK"),Raw_Data!K77))</f>
        <v/>
      </c>
      <c r="L77" s="33" t="str">
        <f aca="false">IF(Raw_Data!L77="","",Raw_Data!L77)</f>
        <v>Asking how the beneficiary list for the next round is prepared.</v>
      </c>
      <c r="M77" s="34" t="str">
        <f aca="false">IF(OR(B77="",K77=""),"",IFERROR(K77-B77,"CHECK"))</f>
        <v/>
      </c>
      <c r="N77" s="34" t="n">
        <f aca="false">IFERROR(INDEX(Reference_Lists!$H$13:$H$14,MATCH(G77,Reference_Lists!$G$13:$G$14,0)),"UNMATCHED")</f>
        <v>15</v>
      </c>
      <c r="O77" s="32" t="str">
        <f aca="false">IF(AND(J77="Closed",ISNUMBER(M77),ISNUMBER(N77),M77&gt;=0),M77&lt;=N77,"NOT ASSESSED")</f>
        <v>NOT ASSESSED</v>
      </c>
      <c r="P77" s="36" t="str">
        <f aca="false">Raw_Data!A77</f>
        <v>CFM-2026-0044</v>
      </c>
      <c r="Q77" s="37" t="str">
        <f aca="false">IFERROR(IF(OR($A77="",$P77=""),"MISSING ID",IF(EXACT($A77,$P77),"ALIGNED","MISMATCH")),"CHECK")</f>
        <v>ALIGNED</v>
      </c>
    </row>
    <row r="78" customFormat="false" ht="19.5" hidden="false" customHeight="true" outlineLevel="0" collapsed="false">
      <c r="A78" s="29" t="s">
        <v>183</v>
      </c>
      <c r="B78" s="30" t="n">
        <f aca="false">IF(Raw_Data!B78="","",IF(ISTEXT(Raw_Data!B78),IFERROR(DATE(VALUE(RIGHT(TRIM(Raw_Data!B78),4)),VALUE(MID(TRIM(Raw_Data!B78),4,2)),VALUE(LEFT(TRIM(Raw_Data!B78),2))),"CHECK"),Raw_Data!B78))</f>
        <v>46111</v>
      </c>
      <c r="C78" s="31" t="str">
        <f aca="false">IFERROR(INDEX(Reference_Lists!$C$23:$C$35,MATCH(PROPER(TRIM(Raw_Data!C78)),Reference_Lists!$B$23:$B$35,0)),"UNMATCHED")</f>
        <v>Phone Hotline</v>
      </c>
      <c r="D78" s="31" t="str">
        <f aca="false">IFERROR(INDEX(Reference_Lists!$C$36:$C$50,MATCH(PROPER(TRIM(Raw_Data!D78)),Reference_Lists!$B$36:$B$50,0)),"UNMATCHED")</f>
        <v>Deir al-Balah</v>
      </c>
      <c r="E78" s="31" t="str">
        <f aca="false">IF(Raw_Data!E78="","",Raw_Data!E78)</f>
        <v>WASH</v>
      </c>
      <c r="F78" s="31" t="str">
        <f aca="false">IF(Raw_Data!F78="","",Raw_Data!F78)</f>
        <v>Complaint</v>
      </c>
      <c r="G78" s="32" t="str">
        <f aca="false">IF(Raw_Data!G78="","",Raw_Data!G78)</f>
        <v>Non-Sensitive</v>
      </c>
      <c r="H78" s="32" t="str">
        <f aca="false">IFERROR(INDEX(Reference_Lists!$C$51:$C$57,MATCH(PROPER(TRIM(Raw_Data!H78)),Reference_Lists!$B$51:$B$57,0)),"UNMATCHED")</f>
        <v>Female</v>
      </c>
      <c r="I78" s="32" t="str">
        <f aca="false">IF(Raw_Data!I78="","",Raw_Data!I78)</f>
        <v>30-44</v>
      </c>
      <c r="J78" s="32" t="str">
        <f aca="false">IFERROR(INDEX(Reference_Lists!$C$58:$C$65,MATCH(PROPER(TRIM(Raw_Data!J78)),Reference_Lists!$B$58:$B$65,0)),"UNMATCHED")</f>
        <v>Open</v>
      </c>
      <c r="K78" s="30" t="str">
        <f aca="false">IF(Raw_Data!K78="","",IF(ISTEXT(Raw_Data!K78),IFERROR(DATE(VALUE(RIGHT(TRIM(Raw_Data!K78),4)),VALUE(MID(TRIM(Raw_Data!K78),4,2)),VALUE(LEFT(TRIM(Raw_Data!K78),2))),"CHECK"),Raw_Data!K78))</f>
        <v/>
      </c>
      <c r="L78" s="33" t="str">
        <f aca="false">IF(Raw_Data!L78="","",Raw_Data!L78)</f>
        <v>Requesting additional jerrycans for a shared shelter of four families.</v>
      </c>
      <c r="M78" s="34" t="str">
        <f aca="false">IF(OR(B78="",K78=""),"",IFERROR(K78-B78,"CHECK"))</f>
        <v/>
      </c>
      <c r="N78" s="34" t="n">
        <f aca="false">IFERROR(INDEX(Reference_Lists!$H$13:$H$14,MATCH(G78,Reference_Lists!$G$13:$G$14,0)),"UNMATCHED")</f>
        <v>15</v>
      </c>
      <c r="O78" s="32" t="str">
        <f aca="false">IF(AND(J78="Closed",ISNUMBER(M78),ISNUMBER(N78),M78&gt;=0),M78&lt;=N78,"NOT ASSESSED")</f>
        <v>NOT ASSESSED</v>
      </c>
      <c r="P78" s="36" t="str">
        <f aca="false">Raw_Data!A78</f>
        <v>CFM-2026-0177</v>
      </c>
      <c r="Q78" s="37" t="str">
        <f aca="false">IFERROR(IF(OR($A78="",$P78=""),"MISSING ID",IF(EXACT($A78,$P78),"ALIGNED","MISMATCH")),"CHECK")</f>
        <v>ALIGNED</v>
      </c>
    </row>
    <row r="79" customFormat="false" ht="19.5" hidden="false" customHeight="true" outlineLevel="0" collapsed="false">
      <c r="A79" s="29" t="s">
        <v>184</v>
      </c>
      <c r="B79" s="30" t="n">
        <f aca="false">IF(Raw_Data!B79="","",IF(ISTEXT(Raw_Data!B79),IFERROR(DATE(VALUE(RIGHT(TRIM(Raw_Data!B79),4)),VALUE(MID(TRIM(Raw_Data!B79),4,2)),VALUE(LEFT(TRIM(Raw_Data!B79),2))),"CHECK"),Raw_Data!B79))</f>
        <v>46199</v>
      </c>
      <c r="C79" s="31" t="str">
        <f aca="false">IFERROR(INDEX(Reference_Lists!$C$23:$C$35,MATCH(PROPER(TRIM(Raw_Data!C79)),Reference_Lists!$B$23:$B$35,0)),"UNMATCHED")</f>
        <v>Phone Hotline</v>
      </c>
      <c r="D79" s="31" t="str">
        <f aca="false">IFERROR(INDEX(Reference_Lists!$C$36:$C$50,MATCH(PROPER(TRIM(Raw_Data!D79)),Reference_Lists!$B$36:$B$50,0)),"UNMATCHED")</f>
        <v>Deir al-Balah</v>
      </c>
      <c r="E79" s="31" t="str">
        <f aca="false">IF(Raw_Data!E79="","",Raw_Data!E79)</f>
        <v>Health</v>
      </c>
      <c r="F79" s="31" t="str">
        <f aca="false">IF(Raw_Data!F79="","",Raw_Data!F79)</f>
        <v>Complaint</v>
      </c>
      <c r="G79" s="32" t="str">
        <f aca="false">IF(Raw_Data!G79="","",Raw_Data!G79)</f>
        <v>Non-Sensitive</v>
      </c>
      <c r="H79" s="32" t="str">
        <f aca="false">IFERROR(INDEX(Reference_Lists!$C$51:$C$57,MATCH(PROPER(TRIM(Raw_Data!H79)),Reference_Lists!$B$51:$B$57,0)),"UNMATCHED")</f>
        <v>Female</v>
      </c>
      <c r="I79" s="32" t="str">
        <f aca="false">IF(Raw_Data!I79="","",Raw_Data!I79)</f>
        <v/>
      </c>
      <c r="J79" s="32" t="str">
        <f aca="false">IFERROR(INDEX(Reference_Lists!$C$58:$C$65,MATCH(PROPER(TRIM(Raw_Data!J79)),Reference_Lists!$B$58:$B$65,0)),"UNMATCHED")</f>
        <v>In Progress</v>
      </c>
      <c r="K79" s="30" t="str">
        <f aca="false">IF(Raw_Data!K79="","",IF(ISTEXT(Raw_Data!K79),IFERROR(DATE(VALUE(RIGHT(TRIM(Raw_Data!K79),4)),VALUE(MID(TRIM(Raw_Data!K79),4,2)),VALUE(LEFT(TRIM(Raw_Data!K79),2))),"CHECK"),Raw_Data!K79))</f>
        <v/>
      </c>
      <c r="L79" s="33" t="str">
        <f aca="false">IF(Raw_Data!L79="","",Raw_Data!L79)</f>
        <v>Clinic opening hours are not clear to the community.</v>
      </c>
      <c r="M79" s="34" t="str">
        <f aca="false">IF(OR(B79="",K79=""),"",IFERROR(K79-B79,"CHECK"))</f>
        <v/>
      </c>
      <c r="N79" s="34" t="n">
        <f aca="false">IFERROR(INDEX(Reference_Lists!$H$13:$H$14,MATCH(G79,Reference_Lists!$G$13:$G$14,0)),"UNMATCHED")</f>
        <v>15</v>
      </c>
      <c r="O79" s="32" t="str">
        <f aca="false">IF(AND(J79="Closed",ISNUMBER(M79),ISNUMBER(N79),M79&gt;=0),M79&lt;=N79,"NOT ASSESSED")</f>
        <v>NOT ASSESSED</v>
      </c>
      <c r="P79" s="36" t="str">
        <f aca="false">Raw_Data!A79</f>
        <v>CFM-2026-0365</v>
      </c>
      <c r="Q79" s="37" t="str">
        <f aca="false">IFERROR(IF(OR($A79="",$P79=""),"MISSING ID",IF(EXACT($A79,$P79),"ALIGNED","MISMATCH")),"CHECK")</f>
        <v>ALIGNED</v>
      </c>
    </row>
    <row r="80" customFormat="false" ht="19.5" hidden="false" customHeight="true" outlineLevel="0" collapsed="false">
      <c r="A80" s="29" t="s">
        <v>185</v>
      </c>
      <c r="B80" s="30" t="n">
        <f aca="false">IF(Raw_Data!B80="","",IF(ISTEXT(Raw_Data!B80),IFERROR(DATE(VALUE(RIGHT(TRIM(Raw_Data!B80),4)),VALUE(MID(TRIM(Raw_Data!B80),4,2)),VALUE(LEFT(TRIM(Raw_Data!B80),2))),"CHECK"),Raw_Data!B80))</f>
        <v>46213</v>
      </c>
      <c r="C80" s="31" t="str">
        <f aca="false">IFERROR(INDEX(Reference_Lists!$C$23:$C$35,MATCH(PROPER(TRIM(Raw_Data!C80)),Reference_Lists!$B$23:$B$35,0)),"UNMATCHED")</f>
        <v>Suggestion Box</v>
      </c>
      <c r="D80" s="31" t="str">
        <f aca="false">IFERROR(INDEX(Reference_Lists!$C$36:$C$50,MATCH(PROPER(TRIM(Raw_Data!D80)),Reference_Lists!$B$36:$B$50,0)),"UNMATCHED")</f>
        <v>Rafah</v>
      </c>
      <c r="E80" s="31" t="str">
        <f aca="false">IF(Raw_Data!E80="","",Raw_Data!E80)</f>
        <v>Nutrition</v>
      </c>
      <c r="F80" s="31" t="str">
        <f aca="false">IF(Raw_Data!F80="","",Raw_Data!F80)</f>
        <v>Complaint</v>
      </c>
      <c r="G80" s="32" t="str">
        <f aca="false">IF(Raw_Data!G80="","",Raw_Data!G80)</f>
        <v>Non-Sensitive</v>
      </c>
      <c r="H80" s="32" t="str">
        <f aca="false">IFERROR(INDEX(Reference_Lists!$C$51:$C$57,MATCH(PROPER(TRIM(Raw_Data!H80)),Reference_Lists!$B$51:$B$57,0)),"UNMATCHED")</f>
        <v>Female</v>
      </c>
      <c r="I80" s="32" t="str">
        <f aca="false">IF(Raw_Data!I80="","",Raw_Data!I80)</f>
        <v>18-29</v>
      </c>
      <c r="J80" s="32" t="str">
        <f aca="false">IFERROR(INDEX(Reference_Lists!$C$58:$C$65,MATCH(PROPER(TRIM(Raw_Data!J80)),Reference_Lists!$B$58:$B$65,0)),"UNMATCHED")</f>
        <v>Closed</v>
      </c>
      <c r="K80" s="30" t="n">
        <f aca="false">IF(Raw_Data!K80="","",IF(ISTEXT(Raw_Data!K80),IFERROR(DATE(VALUE(RIGHT(TRIM(Raw_Data!K80),4)),VALUE(MID(TRIM(Raw_Data!K80),4,2)),VALUE(LEFT(TRIM(Raw_Data!K80),2))),"CHECK"),Raw_Data!K80))</f>
        <v>46241</v>
      </c>
      <c r="L80" s="33" t="str">
        <f aca="false">IF(Raw_Data!L80="","",Raw_Data!L80)</f>
        <v>Supplement was received but the guidance sheet was in English only.</v>
      </c>
      <c r="M80" s="34" t="n">
        <f aca="false">IF(OR(B80="",K80=""),"",IFERROR(K80-B80,"CHECK"))</f>
        <v>28</v>
      </c>
      <c r="N80" s="34" t="n">
        <f aca="false">IFERROR(INDEX(Reference_Lists!$H$13:$H$14,MATCH(G80,Reference_Lists!$G$13:$G$14,0)),"UNMATCHED")</f>
        <v>15</v>
      </c>
      <c r="O80" s="35" t="b">
        <f aca="false">IF(AND(J80="Closed",ISNUMBER(M80),ISNUMBER(N80),M80&gt;=0),M80&lt;=N80,"NOT ASSESSED")</f>
        <v>0</v>
      </c>
      <c r="P80" s="36" t="str">
        <f aca="false">Raw_Data!A80</f>
        <v>CFM-2026-0130</v>
      </c>
      <c r="Q80" s="37" t="str">
        <f aca="false">IFERROR(IF(OR($A80="",$P80=""),"MISSING ID",IF(EXACT($A80,$P80),"ALIGNED","MISMATCH")),"CHECK")</f>
        <v>ALIGNED</v>
      </c>
    </row>
    <row r="81" customFormat="false" ht="19.5" hidden="false" customHeight="true" outlineLevel="0" collapsed="false">
      <c r="A81" s="29" t="s">
        <v>186</v>
      </c>
      <c r="B81" s="30" t="n">
        <f aca="false">IF(Raw_Data!B81="","",IF(ISTEXT(Raw_Data!B81),IFERROR(DATE(VALUE(RIGHT(TRIM(Raw_Data!B81),4)),VALUE(MID(TRIM(Raw_Data!B81),4,2)),VALUE(LEFT(TRIM(Raw_Data!B81),2))),"CHECK"),Raw_Data!B81))</f>
        <v>46077</v>
      </c>
      <c r="C81" s="31" t="str">
        <f aca="false">IFERROR(INDEX(Reference_Lists!$C$23:$C$35,MATCH(PROPER(TRIM(Raw_Data!C81)),Reference_Lists!$B$23:$B$35,0)),"UNMATCHED")</f>
        <v>In-Person at Distribution</v>
      </c>
      <c r="D81" s="31" t="str">
        <f aca="false">IFERROR(INDEX(Reference_Lists!$C$36:$C$50,MATCH(PROPER(TRIM(Raw_Data!D81)),Reference_Lists!$B$36:$B$50,0)),"UNMATCHED")</f>
        <v>Deir al-Balah</v>
      </c>
      <c r="E81" s="31" t="str">
        <f aca="false">IF(Raw_Data!E81="","",Raw_Data!E81)</f>
        <v>Food Security</v>
      </c>
      <c r="F81" s="31" t="str">
        <f aca="false">IF(Raw_Data!F81="","",Raw_Data!F81)</f>
        <v>Suggestion</v>
      </c>
      <c r="G81" s="32" t="str">
        <f aca="false">IF(Raw_Data!G81="","",Raw_Data!G81)</f>
        <v>Non-Sensitive</v>
      </c>
      <c r="H81" s="32" t="str">
        <f aca="false">IFERROR(INDEX(Reference_Lists!$C$51:$C$57,MATCH(PROPER(TRIM(Raw_Data!H81)),Reference_Lists!$B$51:$B$57,0)),"UNMATCHED")</f>
        <v>Male</v>
      </c>
      <c r="I81" s="32" t="str">
        <f aca="false">IF(Raw_Data!I81="","",Raw_Data!I81)</f>
        <v>18-29</v>
      </c>
      <c r="J81" s="32" t="str">
        <f aca="false">IFERROR(INDEX(Reference_Lists!$C$58:$C$65,MATCH(PROPER(TRIM(Raw_Data!J81)),Reference_Lists!$B$58:$B$65,0)),"UNMATCHED")</f>
        <v>Closed</v>
      </c>
      <c r="K81" s="30" t="n">
        <f aca="false">IF(Raw_Data!K81="","",IF(ISTEXT(Raw_Data!K81),IFERROR(DATE(VALUE(RIGHT(TRIM(Raw_Data!K81),4)),VALUE(MID(TRIM(Raw_Data!K81),4,2)),VALUE(LEFT(TRIM(Raw_Data!K81),2))),"CHECK"),Raw_Data!K81))</f>
        <v>46099</v>
      </c>
      <c r="L81" s="33" t="str">
        <f aca="false">IF(Raw_Data!L81="","",Raw_Data!L81)</f>
        <v>Food parcel contents did not match the announced list.</v>
      </c>
      <c r="M81" s="34" t="n">
        <f aca="false">IF(OR(B81="",K81=""),"",IFERROR(K81-B81,"CHECK"))</f>
        <v>22</v>
      </c>
      <c r="N81" s="34" t="n">
        <f aca="false">IFERROR(INDEX(Reference_Lists!$H$13:$H$14,MATCH(G81,Reference_Lists!$G$13:$G$14,0)),"UNMATCHED")</f>
        <v>15</v>
      </c>
      <c r="O81" s="35" t="b">
        <f aca="false">IF(AND(J81="Closed",ISNUMBER(M81),ISNUMBER(N81),M81&gt;=0),M81&lt;=N81,"NOT ASSESSED")</f>
        <v>0</v>
      </c>
      <c r="P81" s="36" t="str">
        <f aca="false">Raw_Data!A81</f>
        <v>CFM-2026-0278</v>
      </c>
      <c r="Q81" s="37" t="str">
        <f aca="false">IFERROR(IF(OR($A81="",$P81=""),"MISSING ID",IF(EXACT($A81,$P81),"ALIGNED","MISMATCH")),"CHECK")</f>
        <v>ALIGNED</v>
      </c>
    </row>
    <row r="82" customFormat="false" ht="19.5" hidden="false" customHeight="true" outlineLevel="0" collapsed="false">
      <c r="A82" s="29" t="s">
        <v>187</v>
      </c>
      <c r="B82" s="30" t="n">
        <f aca="false">IF(Raw_Data!B82="","",IF(ISTEXT(Raw_Data!B82),IFERROR(DATE(VALUE(RIGHT(TRIM(Raw_Data!B82),4)),VALUE(MID(TRIM(Raw_Data!B82),4,2)),VALUE(LEFT(TRIM(Raw_Data!B82),2))),"CHECK"),Raw_Data!B82))</f>
        <v>46065</v>
      </c>
      <c r="C82" s="31" t="str">
        <f aca="false">IFERROR(INDEX(Reference_Lists!$C$23:$C$35,MATCH(PROPER(TRIM(Raw_Data!C82)),Reference_Lists!$B$23:$B$35,0)),"UNMATCHED")</f>
        <v>Suggestion Box</v>
      </c>
      <c r="D82" s="31" t="str">
        <f aca="false">IFERROR(INDEX(Reference_Lists!$C$36:$C$50,MATCH(PROPER(TRIM(Raw_Data!D82)),Reference_Lists!$B$36:$B$50,0)),"UNMATCHED")</f>
        <v>Nuseirat</v>
      </c>
      <c r="E82" s="31" t="str">
        <f aca="false">IF(Raw_Data!E82="","",Raw_Data!E82)</f>
        <v>WASH</v>
      </c>
      <c r="F82" s="31" t="str">
        <f aca="false">IF(Raw_Data!F82="","",Raw_Data!F82)</f>
        <v>Request for Information</v>
      </c>
      <c r="G82" s="32" t="str">
        <f aca="false">IF(Raw_Data!G82="","",Raw_Data!G82)</f>
        <v>Non-Sensitive</v>
      </c>
      <c r="H82" s="32" t="str">
        <f aca="false">IFERROR(INDEX(Reference_Lists!$C$51:$C$57,MATCH(PROPER(TRIM(Raw_Data!H82)),Reference_Lists!$B$51:$B$57,0)),"UNMATCHED")</f>
        <v>Female</v>
      </c>
      <c r="I82" s="32" t="str">
        <f aca="false">IF(Raw_Data!I82="","",Raw_Data!I82)</f>
        <v>45-59</v>
      </c>
      <c r="J82" s="32" t="str">
        <f aca="false">IFERROR(INDEX(Reference_Lists!$C$58:$C$65,MATCH(PROPER(TRIM(Raw_Data!J82)),Reference_Lists!$B$58:$B$65,0)),"UNMATCHED")</f>
        <v>Closed</v>
      </c>
      <c r="K82" s="30" t="n">
        <f aca="false">IF(Raw_Data!K82="","",IF(ISTEXT(Raw_Data!K82),IFERROR(DATE(VALUE(RIGHT(TRIM(Raw_Data!K82),4)),VALUE(MID(TRIM(Raw_Data!K82),4,2)),VALUE(LEFT(TRIM(Raw_Data!K82),2))),"CHECK"),Raw_Data!K82))</f>
        <v>46080</v>
      </c>
      <c r="L82" s="33" t="str">
        <f aca="false">IF(Raw_Data!L82="","",Raw_Data!L82)</f>
        <v>The queue at the water point is not organised and older people cannot wait.</v>
      </c>
      <c r="M82" s="34" t="n">
        <f aca="false">IF(OR(B82="",K82=""),"",IFERROR(K82-B82,"CHECK"))</f>
        <v>15</v>
      </c>
      <c r="N82" s="34" t="n">
        <f aca="false">IFERROR(INDEX(Reference_Lists!$H$13:$H$14,MATCH(G82,Reference_Lists!$G$13:$G$14,0)),"UNMATCHED")</f>
        <v>15</v>
      </c>
      <c r="O82" s="35" t="b">
        <f aca="false">IF(AND(J82="Closed",ISNUMBER(M82),ISNUMBER(N82),M82&gt;=0),M82&lt;=N82,"NOT ASSESSED")</f>
        <v>1</v>
      </c>
      <c r="P82" s="36" t="str">
        <f aca="false">Raw_Data!A82</f>
        <v>CFM-2026-0209</v>
      </c>
      <c r="Q82" s="37" t="str">
        <f aca="false">IFERROR(IF(OR($A82="",$P82=""),"MISSING ID",IF(EXACT($A82,$P82),"ALIGNED","MISMATCH")),"CHECK")</f>
        <v>ALIGNED</v>
      </c>
    </row>
    <row r="83" customFormat="false" ht="19.5" hidden="false" customHeight="true" outlineLevel="0" collapsed="false">
      <c r="A83" s="29" t="s">
        <v>188</v>
      </c>
      <c r="B83" s="30" t="n">
        <f aca="false">IF(Raw_Data!B83="","",IF(ISTEXT(Raw_Data!B83),IFERROR(DATE(VALUE(RIGHT(TRIM(Raw_Data!B83),4)),VALUE(MID(TRIM(Raw_Data!B83),4,2)),VALUE(LEFT(TRIM(Raw_Data!B83),2))),"CHECK"),Raw_Data!B83))</f>
        <v>46129</v>
      </c>
      <c r="C83" s="31" t="str">
        <f aca="false">IFERROR(INDEX(Reference_Lists!$C$23:$C$35,MATCH(PROPER(TRIM(Raw_Data!C83)),Reference_Lists!$B$23:$B$35,0)),"UNMATCHED")</f>
        <v>In-Person at Distribution</v>
      </c>
      <c r="D83" s="31" t="str">
        <f aca="false">IFERROR(INDEX(Reference_Lists!$C$36:$C$50,MATCH(PROPER(TRIM(Raw_Data!D83)),Reference_Lists!$B$36:$B$50,0)),"UNMATCHED")</f>
        <v>Nuseirat</v>
      </c>
      <c r="E83" s="31" t="str">
        <f aca="false">IF(Raw_Data!E83="","",Raw_Data!E83)</f>
        <v>Nutrition</v>
      </c>
      <c r="F83" s="31" t="str">
        <f aca="false">IF(Raw_Data!F83="","",Raw_Data!F83)</f>
        <v>Suggestion</v>
      </c>
      <c r="G83" s="32" t="str">
        <f aca="false">IF(Raw_Data!G83="","",Raw_Data!G83)</f>
        <v>Non-Sensitive</v>
      </c>
      <c r="H83" s="32" t="str">
        <f aca="false">IFERROR(INDEX(Reference_Lists!$C$51:$C$57,MATCH(PROPER(TRIM(Raw_Data!H83)),Reference_Lists!$B$51:$B$57,0)),"UNMATCHED")</f>
        <v>Female</v>
      </c>
      <c r="I83" s="32" t="str">
        <f aca="false">IF(Raw_Data!I83="","",Raw_Data!I83)</f>
        <v>30-44</v>
      </c>
      <c r="J83" s="32" t="str">
        <f aca="false">IFERROR(INDEX(Reference_Lists!$C$58:$C$65,MATCH(PROPER(TRIM(Raw_Data!J83)),Reference_Lists!$B$58:$B$65,0)),"UNMATCHED")</f>
        <v>Closed</v>
      </c>
      <c r="K83" s="30" t="n">
        <f aca="false">IF(Raw_Data!K83="","",IF(ISTEXT(Raw_Data!K83),IFERROR(DATE(VALUE(RIGHT(TRIM(Raw_Data!K83),4)),VALUE(MID(TRIM(Raw_Data!K83),4,2)),VALUE(LEFT(TRIM(Raw_Data!K83),2))),"CHECK"),Raw_Data!K83))</f>
        <v>46143</v>
      </c>
      <c r="L83" s="33" t="str">
        <f aca="false">IF(Raw_Data!L83="","",Raw_Data!L83)</f>
        <v>Requesting a screening session closer to the northern shelter.</v>
      </c>
      <c r="M83" s="34" t="n">
        <f aca="false">IF(OR(B83="",K83=""),"",IFERROR(K83-B83,"CHECK"))</f>
        <v>14</v>
      </c>
      <c r="N83" s="34" t="n">
        <f aca="false">IFERROR(INDEX(Reference_Lists!$H$13:$H$14,MATCH(G83,Reference_Lists!$G$13:$G$14,0)),"UNMATCHED")</f>
        <v>15</v>
      </c>
      <c r="O83" s="35" t="b">
        <f aca="false">IF(AND(J83="Closed",ISNUMBER(M83),ISNUMBER(N83),M83&gt;=0),M83&lt;=N83,"NOT ASSESSED")</f>
        <v>1</v>
      </c>
      <c r="P83" s="36" t="str">
        <f aca="false">Raw_Data!A83</f>
        <v>CFM-2026-0379</v>
      </c>
      <c r="Q83" s="37" t="str">
        <f aca="false">IFERROR(IF(OR($A83="",$P83=""),"MISSING ID",IF(EXACT($A83,$P83),"ALIGNED","MISMATCH")),"CHECK")</f>
        <v>ALIGNED</v>
      </c>
    </row>
    <row r="84" customFormat="false" ht="19.5" hidden="false" customHeight="true" outlineLevel="0" collapsed="false">
      <c r="A84" s="29" t="s">
        <v>189</v>
      </c>
      <c r="B84" s="30" t="n">
        <f aca="false">IF(Raw_Data!B84="","",IF(ISTEXT(Raw_Data!B84),IFERROR(DATE(VALUE(RIGHT(TRIM(Raw_Data!B84),4)),VALUE(MID(TRIM(Raw_Data!B84),4,2)),VALUE(LEFT(TRIM(Raw_Data!B84),2))),"CHECK"),Raw_Data!B84))</f>
        <v>46163</v>
      </c>
      <c r="C84" s="31" t="str">
        <f aca="false">IFERROR(INDEX(Reference_Lists!$C$23:$C$35,MATCH(PROPER(TRIM(Raw_Data!C84)),Reference_Lists!$B$23:$B$35,0)),"UNMATCHED")</f>
        <v>Community Focal Point</v>
      </c>
      <c r="D84" s="31" t="str">
        <f aca="false">IFERROR(INDEX(Reference_Lists!$C$36:$C$50,MATCH(PROPER(TRIM(Raw_Data!D84)),Reference_Lists!$B$36:$B$50,0)),"UNMATCHED")</f>
        <v>Rafah</v>
      </c>
      <c r="E84" s="31" t="str">
        <f aca="false">IF(Raw_Data!E84="","",Raw_Data!E84)</f>
        <v>Shelter</v>
      </c>
      <c r="F84" s="31" t="str">
        <f aca="false">IF(Raw_Data!F84="","",Raw_Data!F84)</f>
        <v>Request for Information</v>
      </c>
      <c r="G84" s="32" t="str">
        <f aca="false">IF(Raw_Data!G84="","",Raw_Data!G84)</f>
        <v>Non-Sensitive</v>
      </c>
      <c r="H84" s="32" t="str">
        <f aca="false">IFERROR(INDEX(Reference_Lists!$C$51:$C$57,MATCH(PROPER(TRIM(Raw_Data!H84)),Reference_Lists!$B$51:$B$57,0)),"UNMATCHED")</f>
        <v>Female</v>
      </c>
      <c r="I84" s="32" t="str">
        <f aca="false">IF(Raw_Data!I84="","",Raw_Data!I84)</f>
        <v>30-44</v>
      </c>
      <c r="J84" s="32" t="str">
        <f aca="false">IFERROR(INDEX(Reference_Lists!$C$58:$C$65,MATCH(PROPER(TRIM(Raw_Data!J84)),Reference_Lists!$B$58:$B$65,0)),"UNMATCHED")</f>
        <v>In Progress</v>
      </c>
      <c r="K84" s="30" t="str">
        <f aca="false">IF(Raw_Data!K84="","",IF(ISTEXT(Raw_Data!K84),IFERROR(DATE(VALUE(RIGHT(TRIM(Raw_Data!K84),4)),VALUE(MID(TRIM(Raw_Data!K84),4,2)),VALUE(LEFT(TRIM(Raw_Data!K84),2))),"CHECK"),Raw_Data!K84))</f>
        <v/>
      </c>
      <c r="L84" s="33" t="str">
        <f aca="false">IF(Raw_Data!L84="","",Raw_Data!L84)</f>
        <v>Tarpaulin received is torn and does not cover the shelter area.</v>
      </c>
      <c r="M84" s="34" t="str">
        <f aca="false">IF(OR(B84="",K84=""),"",IFERROR(K84-B84,"CHECK"))</f>
        <v/>
      </c>
      <c r="N84" s="34" t="n">
        <f aca="false">IFERROR(INDEX(Reference_Lists!$H$13:$H$14,MATCH(G84,Reference_Lists!$G$13:$G$14,0)),"UNMATCHED")</f>
        <v>15</v>
      </c>
      <c r="O84" s="32" t="str">
        <f aca="false">IF(AND(J84="Closed",ISNUMBER(M84),ISNUMBER(N84),M84&gt;=0),M84&lt;=N84,"NOT ASSESSED")</f>
        <v>NOT ASSESSED</v>
      </c>
      <c r="P84" s="36" t="str">
        <f aca="false">Raw_Data!A84</f>
        <v>CFM-2026-0293</v>
      </c>
      <c r="Q84" s="37" t="str">
        <f aca="false">IFERROR(IF(OR($A84="",$P84=""),"MISSING ID",IF(EXACT($A84,$P84),"ALIGNED","MISMATCH")),"CHECK")</f>
        <v>ALIGNED</v>
      </c>
    </row>
    <row r="85" customFormat="false" ht="19.5" hidden="false" customHeight="true" outlineLevel="0" collapsed="false">
      <c r="A85" s="29" t="s">
        <v>190</v>
      </c>
      <c r="B85" s="30" t="n">
        <f aca="false">IF(Raw_Data!B85="","",IF(ISTEXT(Raw_Data!B85),IFERROR(DATE(VALUE(RIGHT(TRIM(Raw_Data!B85),4)),VALUE(MID(TRIM(Raw_Data!B85),4,2)),VALUE(LEFT(TRIM(Raw_Data!B85),2))),"CHECK"),Raw_Data!B85))</f>
        <v>46039</v>
      </c>
      <c r="C85" s="31" t="str">
        <f aca="false">IFERROR(INDEX(Reference_Lists!$C$23:$C$35,MATCH(PROPER(TRIM(Raw_Data!C85)),Reference_Lists!$B$23:$B$35,0)),"UNMATCHED")</f>
        <v>Phone Hotline</v>
      </c>
      <c r="D85" s="31" t="str">
        <f aca="false">IFERROR(INDEX(Reference_Lists!$C$36:$C$50,MATCH(PROPER(TRIM(Raw_Data!D85)),Reference_Lists!$B$36:$B$50,0)),"UNMATCHED")</f>
        <v>Nuseirat</v>
      </c>
      <c r="E85" s="31" t="str">
        <f aca="false">IF(Raw_Data!E85="","",Raw_Data!E85)</f>
        <v>Food Security</v>
      </c>
      <c r="F85" s="31" t="str">
        <f aca="false">IF(Raw_Data!F85="","",Raw_Data!F85)</f>
        <v>Request for Information</v>
      </c>
      <c r="G85" s="32" t="str">
        <f aca="false">IF(Raw_Data!G85="","",Raw_Data!G85)</f>
        <v>Non-Sensitive</v>
      </c>
      <c r="H85" s="32" t="str">
        <f aca="false">IFERROR(INDEX(Reference_Lists!$C$51:$C$57,MATCH(PROPER(TRIM(Raw_Data!H85)),Reference_Lists!$B$51:$B$57,0)),"UNMATCHED")</f>
        <v>Female</v>
      </c>
      <c r="I85" s="32" t="str">
        <f aca="false">IF(Raw_Data!I85="","",Raw_Data!I85)</f>
        <v>Under 18</v>
      </c>
      <c r="J85" s="32" t="str">
        <f aca="false">IFERROR(INDEX(Reference_Lists!$C$58:$C$65,MATCH(PROPER(TRIM(Raw_Data!J85)),Reference_Lists!$B$58:$B$65,0)),"UNMATCHED")</f>
        <v>Open</v>
      </c>
      <c r="K85" s="30" t="str">
        <f aca="false">IF(Raw_Data!K85="","",IF(ISTEXT(Raw_Data!K85),IFERROR(DATE(VALUE(RIGHT(TRIM(Raw_Data!K85),4)),VALUE(MID(TRIM(Raw_Data!K85),4,2)),VALUE(LEFT(TRIM(Raw_Data!K85),2))),"CHECK"),Raw_Data!K85))</f>
        <v/>
      </c>
      <c r="L85" s="33" t="str">
        <f aca="false">IF(Raw_Data!L85="","",Raw_Data!L85)</f>
        <v>Food parcel contents did not match the announced list.</v>
      </c>
      <c r="M85" s="34" t="str">
        <f aca="false">IF(OR(B85="",K85=""),"",IFERROR(K85-B85,"CHECK"))</f>
        <v/>
      </c>
      <c r="N85" s="34" t="n">
        <f aca="false">IFERROR(INDEX(Reference_Lists!$H$13:$H$14,MATCH(G85,Reference_Lists!$G$13:$G$14,0)),"UNMATCHED")</f>
        <v>15</v>
      </c>
      <c r="O85" s="32" t="str">
        <f aca="false">IF(AND(J85="Closed",ISNUMBER(M85),ISNUMBER(N85),M85&gt;=0),M85&lt;=N85,"NOT ASSESSED")</f>
        <v>NOT ASSESSED</v>
      </c>
      <c r="P85" s="36" t="str">
        <f aca="false">Raw_Data!A85</f>
        <v>CFM-2026-0013</v>
      </c>
      <c r="Q85" s="37" t="str">
        <f aca="false">IFERROR(IF(OR($A85="",$P85=""),"MISSING ID",IF(EXACT($A85,$P85),"ALIGNED","MISMATCH")),"CHECK")</f>
        <v>ALIGNED</v>
      </c>
    </row>
    <row r="86" customFormat="false" ht="19.5" hidden="false" customHeight="true" outlineLevel="0" collapsed="false">
      <c r="A86" s="29" t="s">
        <v>191</v>
      </c>
      <c r="B86" s="30" t="n">
        <f aca="false">IF(Raw_Data!B86="","",IF(ISTEXT(Raw_Data!B86),IFERROR(DATE(VALUE(RIGHT(TRIM(Raw_Data!B86),4)),VALUE(MID(TRIM(Raw_Data!B86),4,2)),VALUE(LEFT(TRIM(Raw_Data!B86),2))),"CHECK"),Raw_Data!B86))</f>
        <v>46164</v>
      </c>
      <c r="C86" s="31" t="str">
        <f aca="false">IFERROR(INDEX(Reference_Lists!$C$23:$C$35,MATCH(PROPER(TRIM(Raw_Data!C86)),Reference_Lists!$B$23:$B$35,0)),"UNMATCHED")</f>
        <v>Help Desk</v>
      </c>
      <c r="D86" s="31" t="str">
        <f aca="false">IFERROR(INDEX(Reference_Lists!$C$36:$C$50,MATCH(PROPER(TRIM(Raw_Data!D86)),Reference_Lists!$B$36:$B$50,0)),"UNMATCHED")</f>
        <v>Gaza City</v>
      </c>
      <c r="E86" s="31" t="str">
        <f aca="false">IF(Raw_Data!E86="","",Raw_Data!E86)</f>
        <v>Food Security</v>
      </c>
      <c r="F86" s="31" t="str">
        <f aca="false">IF(Raw_Data!F86="","",Raw_Data!F86)</f>
        <v>Suggestion</v>
      </c>
      <c r="G86" s="32" t="str">
        <f aca="false">IF(Raw_Data!G86="","",Raw_Data!G86)</f>
        <v>Non-Sensitive</v>
      </c>
      <c r="H86" s="32" t="str">
        <f aca="false">IFERROR(INDEX(Reference_Lists!$C$51:$C$57,MATCH(PROPER(TRIM(Raw_Data!H86)),Reference_Lists!$B$51:$B$57,0)),"UNMATCHED")</f>
        <v>Female</v>
      </c>
      <c r="I86" s="32" t="str">
        <f aca="false">IF(Raw_Data!I86="","",Raw_Data!I86)</f>
        <v>30-44</v>
      </c>
      <c r="J86" s="32" t="str">
        <f aca="false">IFERROR(INDEX(Reference_Lists!$C$58:$C$65,MATCH(PROPER(TRIM(Raw_Data!J86)),Reference_Lists!$B$58:$B$65,0)),"UNMATCHED")</f>
        <v>Closed</v>
      </c>
      <c r="K86" s="30" t="n">
        <f aca="false">IF(Raw_Data!K86="","",IF(ISTEXT(Raw_Data!K86),IFERROR(DATE(VALUE(RIGHT(TRIM(Raw_Data!K86),4)),VALUE(MID(TRIM(Raw_Data!K86),4,2)),VALUE(LEFT(TRIM(Raw_Data!K86),2))),"CHECK"),Raw_Data!K86))</f>
        <v>46188</v>
      </c>
      <c r="L86" s="33" t="str">
        <f aca="false">IF(Raw_Data!L86="","",Raw_Data!L86)</f>
        <v>Thanking the team for organising the last distribution well.</v>
      </c>
      <c r="M86" s="34" t="n">
        <f aca="false">IF(OR(B86="",K86=""),"",IFERROR(K86-B86,"CHECK"))</f>
        <v>24</v>
      </c>
      <c r="N86" s="34" t="n">
        <f aca="false">IFERROR(INDEX(Reference_Lists!$H$13:$H$14,MATCH(G86,Reference_Lists!$G$13:$G$14,0)),"UNMATCHED")</f>
        <v>15</v>
      </c>
      <c r="O86" s="35" t="b">
        <f aca="false">IF(AND(J86="Closed",ISNUMBER(M86),ISNUMBER(N86),M86&gt;=0),M86&lt;=N86,"NOT ASSESSED")</f>
        <v>0</v>
      </c>
      <c r="P86" s="36" t="str">
        <f aca="false">Raw_Data!A86</f>
        <v>CFM-2026-0234</v>
      </c>
      <c r="Q86" s="37" t="str">
        <f aca="false">IFERROR(IF(OR($A86="",$P86=""),"MISSING ID",IF(EXACT($A86,$P86),"ALIGNED","MISMATCH")),"CHECK")</f>
        <v>ALIGNED</v>
      </c>
    </row>
    <row r="87" customFormat="false" ht="19.5" hidden="false" customHeight="true" outlineLevel="0" collapsed="false">
      <c r="A87" s="29" t="s">
        <v>193</v>
      </c>
      <c r="B87" s="30" t="n">
        <f aca="false">IF(Raw_Data!B87="","",IF(ISTEXT(Raw_Data!B87),IFERROR(DATE(VALUE(RIGHT(TRIM(Raw_Data!B87),4)),VALUE(MID(TRIM(Raw_Data!B87),4,2)),VALUE(LEFT(TRIM(Raw_Data!B87),2))),"CHECK"),Raw_Data!B87))</f>
        <v>46124</v>
      </c>
      <c r="C87" s="31" t="str">
        <f aca="false">IFERROR(INDEX(Reference_Lists!$C$23:$C$35,MATCH(PROPER(TRIM(Raw_Data!C87)),Reference_Lists!$B$23:$B$35,0)),"UNMATCHED")</f>
        <v>Suggestion Box</v>
      </c>
      <c r="D87" s="31" t="str">
        <f aca="false">IFERROR(INDEX(Reference_Lists!$C$36:$C$50,MATCH(PROPER(TRIM(Raw_Data!D87)),Reference_Lists!$B$36:$B$50,0)),"UNMATCHED")</f>
        <v>Khan Yunis</v>
      </c>
      <c r="E87" s="31" t="str">
        <f aca="false">IF(Raw_Data!E87="","",Raw_Data!E87)</f>
        <v>Nutrition</v>
      </c>
      <c r="F87" s="31" t="str">
        <f aca="false">IF(Raw_Data!F87="","",Raw_Data!F87)</f>
        <v>Complaint</v>
      </c>
      <c r="G87" s="32" t="str">
        <f aca="false">IF(Raw_Data!G87="","",Raw_Data!G87)</f>
        <v>Non-Sensitive</v>
      </c>
      <c r="H87" s="32" t="str">
        <f aca="false">IFERROR(INDEX(Reference_Lists!$C$51:$C$57,MATCH(PROPER(TRIM(Raw_Data!H87)),Reference_Lists!$B$51:$B$57,0)),"UNMATCHED")</f>
        <v>Female</v>
      </c>
      <c r="I87" s="32" t="str">
        <f aca="false">IF(Raw_Data!I87="","",Raw_Data!I87)</f>
        <v>18-29</v>
      </c>
      <c r="J87" s="32" t="str">
        <f aca="false">IFERROR(INDEX(Reference_Lists!$C$58:$C$65,MATCH(PROPER(TRIM(Raw_Data!J87)),Reference_Lists!$B$58:$B$65,0)),"UNMATCHED")</f>
        <v>Open</v>
      </c>
      <c r="K87" s="30" t="str">
        <f aca="false">IF(Raw_Data!K87="","",IF(ISTEXT(Raw_Data!K87),IFERROR(DATE(VALUE(RIGHT(TRIM(Raw_Data!K87),4)),VALUE(MID(TRIM(Raw_Data!K87),4,2)),VALUE(LEFT(TRIM(Raw_Data!K87),2))),"CHECK"),Raw_Data!K87))</f>
        <v/>
      </c>
      <c r="L87" s="33" t="str">
        <f aca="false">IF(Raw_Data!L87="","",Raw_Data!L87)</f>
        <v>Supplement was received but the guidance sheet was in English only.</v>
      </c>
      <c r="M87" s="34" t="str">
        <f aca="false">IF(OR(B87="",K87=""),"",IFERROR(K87-B87,"CHECK"))</f>
        <v/>
      </c>
      <c r="N87" s="34" t="n">
        <f aca="false">IFERROR(INDEX(Reference_Lists!$H$13:$H$14,MATCH(G87,Reference_Lists!$G$13:$G$14,0)),"UNMATCHED")</f>
        <v>15</v>
      </c>
      <c r="O87" s="32" t="str">
        <f aca="false">IF(AND(J87="Closed",ISNUMBER(M87),ISNUMBER(N87),M87&gt;=0),M87&lt;=N87,"NOT ASSESSED")</f>
        <v>NOT ASSESSED</v>
      </c>
      <c r="P87" s="36" t="str">
        <f aca="false">Raw_Data!A87</f>
        <v>CFM-2026-0040</v>
      </c>
      <c r="Q87" s="37" t="str">
        <f aca="false">IFERROR(IF(OR($A87="",$P87=""),"MISSING ID",IF(EXACT($A87,$P87),"ALIGNED","MISMATCH")),"CHECK")</f>
        <v>ALIGNED</v>
      </c>
    </row>
    <row r="88" customFormat="false" ht="19.5" hidden="false" customHeight="true" outlineLevel="0" collapsed="false">
      <c r="A88" s="29" t="s">
        <v>194</v>
      </c>
      <c r="B88" s="30" t="n">
        <f aca="false">IF(Raw_Data!B88="","",IF(ISTEXT(Raw_Data!B88),IFERROR(DATE(VALUE(RIGHT(TRIM(Raw_Data!B88),4)),VALUE(MID(TRIM(Raw_Data!B88),4,2)),VALUE(LEFT(TRIM(Raw_Data!B88),2))),"CHECK"),Raw_Data!B88))</f>
        <v>46190</v>
      </c>
      <c r="C88" s="31" t="str">
        <f aca="false">IFERROR(INDEX(Reference_Lists!$C$23:$C$35,MATCH(PROPER(TRIM(Raw_Data!C88)),Reference_Lists!$B$23:$B$35,0)),"UNMATCHED")</f>
        <v>In-Person at Distribution</v>
      </c>
      <c r="D88" s="31" t="str">
        <f aca="false">IFERROR(INDEX(Reference_Lists!$C$36:$C$50,MATCH(PROPER(TRIM(Raw_Data!D88)),Reference_Lists!$B$36:$B$50,0)),"UNMATCHED")</f>
        <v>Jabalia</v>
      </c>
      <c r="E88" s="31" t="str">
        <f aca="false">IF(Raw_Data!E88="","",Raw_Data!E88)</f>
        <v>Shelter</v>
      </c>
      <c r="F88" s="31" t="str">
        <f aca="false">IF(Raw_Data!F88="","",Raw_Data!F88)</f>
        <v>Suggestion</v>
      </c>
      <c r="G88" s="32" t="str">
        <f aca="false">IF(Raw_Data!G88="","",Raw_Data!G88)</f>
        <v>Non-Sensitive</v>
      </c>
      <c r="H88" s="32" t="str">
        <f aca="false">IFERROR(INDEX(Reference_Lists!$C$51:$C$57,MATCH(PROPER(TRIM(Raw_Data!H88)),Reference_Lists!$B$51:$B$57,0)),"UNMATCHED")</f>
        <v>Prefer not to say</v>
      </c>
      <c r="I88" s="32" t="str">
        <f aca="false">IF(Raw_Data!I88="","",Raw_Data!I88)</f>
        <v>45-59</v>
      </c>
      <c r="J88" s="32" t="str">
        <f aca="false">IFERROR(INDEX(Reference_Lists!$C$58:$C$65,MATCH(PROPER(TRIM(Raw_Data!J88)),Reference_Lists!$B$58:$B$65,0)),"UNMATCHED")</f>
        <v>Closed</v>
      </c>
      <c r="K88" s="30" t="n">
        <f aca="false">IF(Raw_Data!K88="","",IF(ISTEXT(Raw_Data!K88),IFERROR(DATE(VALUE(RIGHT(TRIM(Raw_Data!K88),4)),VALUE(MID(TRIM(Raw_Data!K88),4,2)),VALUE(LEFT(TRIM(Raw_Data!K88),2))),"CHECK"),Raw_Data!K88))</f>
        <v>46197</v>
      </c>
      <c r="L88" s="33" t="str">
        <f aca="false">IF(Raw_Data!L88="","",Raw_Data!L88)</f>
        <v>Shelter kit delivered on time and the team explained the use clearly.</v>
      </c>
      <c r="M88" s="34" t="n">
        <f aca="false">IF(OR(B88="",K88=""),"",IFERROR(K88-B88,"CHECK"))</f>
        <v>7</v>
      </c>
      <c r="N88" s="34" t="n">
        <f aca="false">IFERROR(INDEX(Reference_Lists!$H$13:$H$14,MATCH(G88,Reference_Lists!$G$13:$G$14,0)),"UNMATCHED")</f>
        <v>15</v>
      </c>
      <c r="O88" s="35" t="b">
        <f aca="false">IF(AND(J88="Closed",ISNUMBER(M88),ISNUMBER(N88),M88&gt;=0),M88&lt;=N88,"NOT ASSESSED")</f>
        <v>1</v>
      </c>
      <c r="P88" s="36" t="str">
        <f aca="false">Raw_Data!A88</f>
        <v>CFM-2026-0383</v>
      </c>
      <c r="Q88" s="37" t="str">
        <f aca="false">IFERROR(IF(OR($A88="",$P88=""),"MISSING ID",IF(EXACT($A88,$P88),"ALIGNED","MISMATCH")),"CHECK")</f>
        <v>ALIGNED</v>
      </c>
    </row>
    <row r="89" customFormat="false" ht="19.5" hidden="false" customHeight="true" outlineLevel="0" collapsed="false">
      <c r="A89" s="29" t="s">
        <v>195</v>
      </c>
      <c r="B89" s="30" t="n">
        <f aca="false">IF(Raw_Data!B89="","",IF(ISTEXT(Raw_Data!B89),IFERROR(DATE(VALUE(RIGHT(TRIM(Raw_Data!B89),4)),VALUE(MID(TRIM(Raw_Data!B89),4,2)),VALUE(LEFT(TRIM(Raw_Data!B89),2))),"CHECK"),Raw_Data!B89))</f>
        <v>46089</v>
      </c>
      <c r="C89" s="31" t="str">
        <f aca="false">IFERROR(INDEX(Reference_Lists!$C$23:$C$35,MATCH(PROPER(TRIM(Raw_Data!C89)),Reference_Lists!$B$23:$B$35,0)),"UNMATCHED")</f>
        <v>Community Focal Point</v>
      </c>
      <c r="D89" s="31" t="str">
        <f aca="false">IFERROR(INDEX(Reference_Lists!$C$36:$C$50,MATCH(PROPER(TRIM(Raw_Data!D89)),Reference_Lists!$B$36:$B$50,0)),"UNMATCHED")</f>
        <v>Jabalia</v>
      </c>
      <c r="E89" s="31" t="str">
        <f aca="false">IF(Raw_Data!E89="","",Raw_Data!E89)</f>
        <v/>
      </c>
      <c r="F89" s="31" t="str">
        <f aca="false">IF(Raw_Data!F89="","",Raw_Data!F89)</f>
        <v>Complaint</v>
      </c>
      <c r="G89" s="32" t="str">
        <f aca="false">IF(Raw_Data!G89="","",Raw_Data!G89)</f>
        <v>Non-Sensitive</v>
      </c>
      <c r="H89" s="32" t="str">
        <f aca="false">IFERROR(INDEX(Reference_Lists!$C$51:$C$57,MATCH(PROPER(TRIM(Raw_Data!H89)),Reference_Lists!$B$51:$B$57,0)),"UNMATCHED")</f>
        <v>Male</v>
      </c>
      <c r="I89" s="32" t="str">
        <f aca="false">IF(Raw_Data!I89="","",Raw_Data!I89)</f>
        <v>18-29</v>
      </c>
      <c r="J89" s="32" t="str">
        <f aca="false">IFERROR(INDEX(Reference_Lists!$C$58:$C$65,MATCH(PROPER(TRIM(Raw_Data!J89)),Reference_Lists!$B$58:$B$65,0)),"UNMATCHED")</f>
        <v>Closed</v>
      </c>
      <c r="K89" s="30" t="n">
        <f aca="false">IF(Raw_Data!K89="","",IF(ISTEXT(Raw_Data!K89),IFERROR(DATE(VALUE(RIGHT(TRIM(Raw_Data!K89),4)),VALUE(MID(TRIM(Raw_Data!K89),4,2)),VALUE(LEFT(TRIM(Raw_Data!K89),2))),"CHECK"),Raw_Data!K89))</f>
        <v>46113</v>
      </c>
      <c r="L89" s="33" t="str">
        <f aca="false">IF(Raw_Data!L89="","",Raw_Data!L89)</f>
        <v>Waiting time at the mobile clinic is long during afternoon hours.</v>
      </c>
      <c r="M89" s="34" t="n">
        <f aca="false">IF(OR(B89="",K89=""),"",IFERROR(K89-B89,"CHECK"))</f>
        <v>24</v>
      </c>
      <c r="N89" s="34" t="n">
        <f aca="false">IFERROR(INDEX(Reference_Lists!$H$13:$H$14,MATCH(G89,Reference_Lists!$G$13:$G$14,0)),"UNMATCHED")</f>
        <v>15</v>
      </c>
      <c r="O89" s="35" t="b">
        <f aca="false">IF(AND(J89="Closed",ISNUMBER(M89),ISNUMBER(N89),M89&gt;=0),M89&lt;=N89,"NOT ASSESSED")</f>
        <v>0</v>
      </c>
      <c r="P89" s="36" t="str">
        <f aca="false">Raw_Data!A89</f>
        <v>CFM-2026-0306</v>
      </c>
      <c r="Q89" s="37" t="str">
        <f aca="false">IFERROR(IF(OR($A89="",$P89=""),"MISSING ID",IF(EXACT($A89,$P89),"ALIGNED","MISMATCH")),"CHECK")</f>
        <v>ALIGNED</v>
      </c>
    </row>
    <row r="90" customFormat="false" ht="19.5" hidden="false" customHeight="true" outlineLevel="0" collapsed="false">
      <c r="A90" s="29" t="s">
        <v>196</v>
      </c>
      <c r="B90" s="30" t="n">
        <f aca="false">IF(Raw_Data!B90="","",IF(ISTEXT(Raw_Data!B90),IFERROR(DATE(VALUE(RIGHT(TRIM(Raw_Data!B90),4)),VALUE(MID(TRIM(Raw_Data!B90),4,2)),VALUE(LEFT(TRIM(Raw_Data!B90),2))),"CHECK"),Raw_Data!B90))</f>
        <v>46074</v>
      </c>
      <c r="C90" s="31" t="str">
        <f aca="false">IFERROR(INDEX(Reference_Lists!$C$23:$C$35,MATCH(PROPER(TRIM(Raw_Data!C90)),Reference_Lists!$B$23:$B$35,0)),"UNMATCHED")</f>
        <v>In-Person at Distribution</v>
      </c>
      <c r="D90" s="31" t="str">
        <f aca="false">IFERROR(INDEX(Reference_Lists!$C$36:$C$50,MATCH(PROPER(TRIM(Raw_Data!D90)),Reference_Lists!$B$36:$B$50,0)),"UNMATCHED")</f>
        <v>Khan Yunis</v>
      </c>
      <c r="E90" s="31" t="str">
        <f aca="false">IF(Raw_Data!E90="","",Raw_Data!E90)</f>
        <v>Nutrition</v>
      </c>
      <c r="F90" s="31" t="str">
        <f aca="false">IF(Raw_Data!F90="","",Raw_Data!F90)</f>
        <v>Request for Information</v>
      </c>
      <c r="G90" s="32" t="str">
        <f aca="false">IF(Raw_Data!G90="","",Raw_Data!G90)</f>
        <v>Non-Sensitive</v>
      </c>
      <c r="H90" s="32" t="str">
        <f aca="false">IFERROR(INDEX(Reference_Lists!$C$51:$C$57,MATCH(PROPER(TRIM(Raw_Data!H90)),Reference_Lists!$B$51:$B$57,0)),"UNMATCHED")</f>
        <v>Male</v>
      </c>
      <c r="I90" s="32" t="str">
        <f aca="false">IF(Raw_Data!I90="","",Raw_Data!I90)</f>
        <v>Under 18</v>
      </c>
      <c r="J90" s="32" t="str">
        <f aca="false">IFERROR(INDEX(Reference_Lists!$C$58:$C$65,MATCH(PROPER(TRIM(Raw_Data!J90)),Reference_Lists!$B$58:$B$65,0)),"UNMATCHED")</f>
        <v>Referred</v>
      </c>
      <c r="K90" s="30" t="str">
        <f aca="false">IF(Raw_Data!K90="","",IF(ISTEXT(Raw_Data!K90),IFERROR(DATE(VALUE(RIGHT(TRIM(Raw_Data!K90),4)),VALUE(MID(TRIM(Raw_Data!K90),4,2)),VALUE(LEFT(TRIM(Raw_Data!K90),2))),"CHECK"),Raw_Data!K90))</f>
        <v/>
      </c>
      <c r="L90" s="33" t="str">
        <f aca="false">IF(Raw_Data!L90="","",Raw_Data!L90)</f>
        <v>Requesting a screening session closer to the northern shelter.</v>
      </c>
      <c r="M90" s="34" t="str">
        <f aca="false">IF(OR(B90="",K90=""),"",IFERROR(K90-B90,"CHECK"))</f>
        <v/>
      </c>
      <c r="N90" s="34" t="n">
        <f aca="false">IFERROR(INDEX(Reference_Lists!$H$13:$H$14,MATCH(G90,Reference_Lists!$G$13:$G$14,0)),"UNMATCHED")</f>
        <v>15</v>
      </c>
      <c r="O90" s="32" t="str">
        <f aca="false">IF(AND(J90="Closed",ISNUMBER(M90),ISNUMBER(N90),M90&gt;=0),M90&lt;=N90,"NOT ASSESSED")</f>
        <v>NOT ASSESSED</v>
      </c>
      <c r="P90" s="36" t="str">
        <f aca="false">Raw_Data!A90</f>
        <v>CFM-2026-0280</v>
      </c>
      <c r="Q90" s="37" t="str">
        <f aca="false">IFERROR(IF(OR($A90="",$P90=""),"MISSING ID",IF(EXACT($A90,$P90),"ALIGNED","MISMATCH")),"CHECK")</f>
        <v>ALIGNED</v>
      </c>
    </row>
    <row r="91" customFormat="false" ht="19.5" hidden="false" customHeight="true" outlineLevel="0" collapsed="false">
      <c r="A91" s="29" t="s">
        <v>197</v>
      </c>
      <c r="B91" s="30" t="n">
        <f aca="false">IF(Raw_Data!B91="","",IF(ISTEXT(Raw_Data!B91),IFERROR(DATE(VALUE(RIGHT(TRIM(Raw_Data!B91),4)),VALUE(MID(TRIM(Raw_Data!B91),4,2)),VALUE(LEFT(TRIM(Raw_Data!B91),2))),"CHECK"),Raw_Data!B91))</f>
        <v>46115</v>
      </c>
      <c r="C91" s="31" t="str">
        <f aca="false">IFERROR(INDEX(Reference_Lists!$C$23:$C$35,MATCH(PROPER(TRIM(Raw_Data!C91)),Reference_Lists!$B$23:$B$35,0)),"UNMATCHED")</f>
        <v>Community Focal Point</v>
      </c>
      <c r="D91" s="31" t="str">
        <f aca="false">IFERROR(INDEX(Reference_Lists!$C$36:$C$50,MATCH(PROPER(TRIM(Raw_Data!D91)),Reference_Lists!$B$36:$B$50,0)),"UNMATCHED")</f>
        <v>Nuseirat</v>
      </c>
      <c r="E91" s="31" t="str">
        <f aca="false">IF(Raw_Data!E91="","",Raw_Data!E91)</f>
        <v>Health</v>
      </c>
      <c r="F91" s="31" t="str">
        <f aca="false">IF(Raw_Data!F91="","",Raw_Data!F91)</f>
        <v>Complaint</v>
      </c>
      <c r="G91" s="32" t="str">
        <f aca="false">IF(Raw_Data!G91="","",Raw_Data!G91)</f>
        <v>Non-Sensitive</v>
      </c>
      <c r="H91" s="32" t="str">
        <f aca="false">IFERROR(INDEX(Reference_Lists!$C$51:$C$57,MATCH(PROPER(TRIM(Raw_Data!H91)),Reference_Lists!$B$51:$B$57,0)),"UNMATCHED")</f>
        <v>Female</v>
      </c>
      <c r="I91" s="32" t="str">
        <f aca="false">IF(Raw_Data!I91="","",Raw_Data!I91)</f>
        <v>18-29</v>
      </c>
      <c r="J91" s="32" t="str">
        <f aca="false">IFERROR(INDEX(Reference_Lists!$C$58:$C$65,MATCH(PROPER(TRIM(Raw_Data!J91)),Reference_Lists!$B$58:$B$65,0)),"UNMATCHED")</f>
        <v>In Progress</v>
      </c>
      <c r="K91" s="30" t="n">
        <f aca="false">IF(Raw_Data!K91="","",IF(ISTEXT(Raw_Data!K91),IFERROR(DATE(VALUE(RIGHT(TRIM(Raw_Data!K91),4)),VALUE(MID(TRIM(Raw_Data!K91),4,2)),VALUE(LEFT(TRIM(Raw_Data!K91),2))),"CHECK"),Raw_Data!K91))</f>
        <v>46119</v>
      </c>
      <c r="L91" s="33" t="str">
        <f aca="false">IF(Raw_Data!L91="","",Raw_Data!L91)</f>
        <v>Clinic opening hours are not clear to the community.</v>
      </c>
      <c r="M91" s="34" t="n">
        <f aca="false">IF(OR(B91="",K91=""),"",IFERROR(K91-B91,"CHECK"))</f>
        <v>4</v>
      </c>
      <c r="N91" s="34" t="n">
        <f aca="false">IFERROR(INDEX(Reference_Lists!$H$13:$H$14,MATCH(G91,Reference_Lists!$G$13:$G$14,0)),"UNMATCHED")</f>
        <v>15</v>
      </c>
      <c r="O91" s="32" t="str">
        <f aca="false">IF(AND(J91="Closed",ISNUMBER(M91),ISNUMBER(N91),M91&gt;=0),M91&lt;=N91,"NOT ASSESSED")</f>
        <v>NOT ASSESSED</v>
      </c>
      <c r="P91" s="36" t="str">
        <f aca="false">Raw_Data!A91</f>
        <v>CFM-2026-0089</v>
      </c>
      <c r="Q91" s="37" t="str">
        <f aca="false">IFERROR(IF(OR($A91="",$P91=""),"MISSING ID",IF(EXACT($A91,$P91),"ALIGNED","MISMATCH")),"CHECK")</f>
        <v>ALIGNED</v>
      </c>
    </row>
    <row r="92" customFormat="false" ht="19.5" hidden="false" customHeight="true" outlineLevel="0" collapsed="false">
      <c r="A92" s="29" t="s">
        <v>198</v>
      </c>
      <c r="B92" s="30" t="n">
        <f aca="false">IF(Raw_Data!B92="","",IF(ISTEXT(Raw_Data!B92),IFERROR(DATE(VALUE(RIGHT(TRIM(Raw_Data!B92),4)),VALUE(MID(TRIM(Raw_Data!B92),4,2)),VALUE(LEFT(TRIM(Raw_Data!B92),2))),"CHECK"),Raw_Data!B92))</f>
        <v>46094</v>
      </c>
      <c r="C92" s="31" t="str">
        <f aca="false">IFERROR(INDEX(Reference_Lists!$C$23:$C$35,MATCH(PROPER(TRIM(Raw_Data!C92)),Reference_Lists!$B$23:$B$35,0)),"UNMATCHED")</f>
        <v>In-Person at Distribution</v>
      </c>
      <c r="D92" s="31" t="str">
        <f aca="false">IFERROR(INDEX(Reference_Lists!$C$36:$C$50,MATCH(PROPER(TRIM(Raw_Data!D92)),Reference_Lists!$B$36:$B$50,0)),"UNMATCHED")</f>
        <v>Deir al-Balah</v>
      </c>
      <c r="E92" s="31" t="str">
        <f aca="false">IF(Raw_Data!E92="","",Raw_Data!E92)</f>
        <v>Nutrition</v>
      </c>
      <c r="F92" s="31" t="str">
        <f aca="false">IF(Raw_Data!F92="","",Raw_Data!F92)</f>
        <v>Complaint</v>
      </c>
      <c r="G92" s="32" t="str">
        <f aca="false">IF(Raw_Data!G92="","",Raw_Data!G92)</f>
        <v>Non-Sensitive</v>
      </c>
      <c r="H92" s="32" t="str">
        <f aca="false">IFERROR(INDEX(Reference_Lists!$C$51:$C$57,MATCH(PROPER(TRIM(Raw_Data!H92)),Reference_Lists!$B$51:$B$57,0)),"UNMATCHED")</f>
        <v>Male</v>
      </c>
      <c r="I92" s="32" t="str">
        <f aca="false">IF(Raw_Data!I92="","",Raw_Data!I92)</f>
        <v>30-44</v>
      </c>
      <c r="J92" s="32" t="str">
        <f aca="false">IFERROR(INDEX(Reference_Lists!$C$58:$C$65,MATCH(PROPER(TRIM(Raw_Data!J92)),Reference_Lists!$B$58:$B$65,0)),"UNMATCHED")</f>
        <v>Open</v>
      </c>
      <c r="K92" s="30" t="str">
        <f aca="false">IF(Raw_Data!K92="","",IF(ISTEXT(Raw_Data!K92),IFERROR(DATE(VALUE(RIGHT(TRIM(Raw_Data!K92),4)),VALUE(MID(TRIM(Raw_Data!K92),4,2)),VALUE(LEFT(TRIM(Raw_Data!K92),2))),"CHECK"),Raw_Data!K92))</f>
        <v/>
      </c>
      <c r="L92" s="33" t="str">
        <f aca="false">IF(Raw_Data!L92="","",Raw_Data!L92)</f>
        <v>Supplement was received but the guidance sheet was in English only.</v>
      </c>
      <c r="M92" s="34" t="str">
        <f aca="false">IF(OR(B92="",K92=""),"",IFERROR(K92-B92,"CHECK"))</f>
        <v/>
      </c>
      <c r="N92" s="34" t="n">
        <f aca="false">IFERROR(INDEX(Reference_Lists!$H$13:$H$14,MATCH(G92,Reference_Lists!$G$13:$G$14,0)),"UNMATCHED")</f>
        <v>15</v>
      </c>
      <c r="O92" s="32" t="str">
        <f aca="false">IF(AND(J92="Closed",ISNUMBER(M92),ISNUMBER(N92),M92&gt;=0),M92&lt;=N92,"NOT ASSESSED")</f>
        <v>NOT ASSESSED</v>
      </c>
      <c r="P92" s="36" t="str">
        <f aca="false">Raw_Data!A92</f>
        <v>CFM-2026-0114</v>
      </c>
      <c r="Q92" s="37" t="str">
        <f aca="false">IFERROR(IF(OR($A92="",$P92=""),"MISSING ID",IF(EXACT($A92,$P92),"ALIGNED","MISMATCH")),"CHECK")</f>
        <v>ALIGNED</v>
      </c>
    </row>
    <row r="93" customFormat="false" ht="19.5" hidden="false" customHeight="true" outlineLevel="0" collapsed="false">
      <c r="A93" s="29" t="s">
        <v>199</v>
      </c>
      <c r="B93" s="30" t="n">
        <f aca="false">IF(Raw_Data!B93="","",IF(ISTEXT(Raw_Data!B93),IFERROR(DATE(VALUE(RIGHT(TRIM(Raw_Data!B93),4)),VALUE(MID(TRIM(Raw_Data!B93),4,2)),VALUE(LEFT(TRIM(Raw_Data!B93),2))),"CHECK"),Raw_Data!B93))</f>
        <v>46082</v>
      </c>
      <c r="C93" s="31" t="str">
        <f aca="false">IFERROR(INDEX(Reference_Lists!$C$23:$C$35,MATCH(PROPER(TRIM(Raw_Data!C93)),Reference_Lists!$B$23:$B$35,0)),"UNMATCHED")</f>
        <v>Phone Hotline</v>
      </c>
      <c r="D93" s="31" t="str">
        <f aca="false">IFERROR(INDEX(Reference_Lists!$C$36:$C$50,MATCH(PROPER(TRIM(Raw_Data!D93)),Reference_Lists!$B$36:$B$50,0)),"UNMATCHED")</f>
        <v>Deir al-Balah</v>
      </c>
      <c r="E93" s="31" t="str">
        <f aca="false">IF(Raw_Data!E93="","",Raw_Data!E93)</f>
        <v>Food Security</v>
      </c>
      <c r="F93" s="31" t="str">
        <f aca="false">IF(Raw_Data!F93="","",Raw_Data!F93)</f>
        <v>Complaint</v>
      </c>
      <c r="G93" s="32" t="str">
        <f aca="false">IF(Raw_Data!G93="","",Raw_Data!G93)</f>
        <v>Non-Sensitive</v>
      </c>
      <c r="H93" s="32" t="str">
        <f aca="false">IFERROR(INDEX(Reference_Lists!$C$51:$C$57,MATCH(PROPER(TRIM(Raw_Data!H93)),Reference_Lists!$B$51:$B$57,0)),"UNMATCHED")</f>
        <v>Female</v>
      </c>
      <c r="I93" s="32" t="str">
        <f aca="false">IF(Raw_Data!I93="","",Raw_Data!I93)</f>
        <v>30-44</v>
      </c>
      <c r="J93" s="32" t="str">
        <f aca="false">IFERROR(INDEX(Reference_Lists!$C$58:$C$65,MATCH(PROPER(TRIM(Raw_Data!J93)),Reference_Lists!$B$58:$B$65,0)),"UNMATCHED")</f>
        <v>Open</v>
      </c>
      <c r="K93" s="30" t="str">
        <f aca="false">IF(Raw_Data!K93="","",IF(ISTEXT(Raw_Data!K93),IFERROR(DATE(VALUE(RIGHT(TRIM(Raw_Data!K93),4)),VALUE(MID(TRIM(Raw_Data!K93),4,2)),VALUE(LEFT(TRIM(Raw_Data!K93),2))),"CHECK"),Raw_Data!K93))</f>
        <v/>
      </c>
      <c r="L93" s="33" t="str">
        <f aca="false">IF(Raw_Data!L93="","",Raw_Data!L93)</f>
        <v>Distribution point is far and transport cost is high for our family.</v>
      </c>
      <c r="M93" s="34" t="str">
        <f aca="false">IF(OR(B93="",K93=""),"",IFERROR(K93-B93,"CHECK"))</f>
        <v/>
      </c>
      <c r="N93" s="34" t="n">
        <f aca="false">IFERROR(INDEX(Reference_Lists!$H$13:$H$14,MATCH(G93,Reference_Lists!$G$13:$G$14,0)),"UNMATCHED")</f>
        <v>15</v>
      </c>
      <c r="O93" s="32" t="str">
        <f aca="false">IF(AND(J93="Closed",ISNUMBER(M93),ISNUMBER(N93),M93&gt;=0),M93&lt;=N93,"NOT ASSESSED")</f>
        <v>NOT ASSESSED</v>
      </c>
      <c r="P93" s="36" t="str">
        <f aca="false">Raw_Data!A93</f>
        <v>CFM-2026-0366</v>
      </c>
      <c r="Q93" s="37" t="str">
        <f aca="false">IFERROR(IF(OR($A93="",$P93=""),"MISSING ID",IF(EXACT($A93,$P93),"ALIGNED","MISMATCH")),"CHECK")</f>
        <v>ALIGNED</v>
      </c>
    </row>
    <row r="94" customFormat="false" ht="19.5" hidden="false" customHeight="true" outlineLevel="0" collapsed="false">
      <c r="A94" s="29" t="s">
        <v>200</v>
      </c>
      <c r="B94" s="30" t="n">
        <f aca="false">IF(Raw_Data!B94="","",IF(ISTEXT(Raw_Data!B94),IFERROR(DATE(VALUE(RIGHT(TRIM(Raw_Data!B94),4)),VALUE(MID(TRIM(Raw_Data!B94),4,2)),VALUE(LEFT(TRIM(Raw_Data!B94),2))),"CHECK"),Raw_Data!B94))</f>
        <v>46102</v>
      </c>
      <c r="C94" s="31" t="str">
        <f aca="false">IFERROR(INDEX(Reference_Lists!$C$23:$C$35,MATCH(PROPER(TRIM(Raw_Data!C94)),Reference_Lists!$B$23:$B$35,0)),"UNMATCHED")</f>
        <v>In-Person at Distribution</v>
      </c>
      <c r="D94" s="31" t="str">
        <f aca="false">IFERROR(INDEX(Reference_Lists!$C$36:$C$50,MATCH(PROPER(TRIM(Raw_Data!D94)),Reference_Lists!$B$36:$B$50,0)),"UNMATCHED")</f>
        <v>Jabalia</v>
      </c>
      <c r="E94" s="31" t="str">
        <f aca="false">IF(Raw_Data!E94="","",Raw_Data!E94)</f>
        <v>Food Security</v>
      </c>
      <c r="F94" s="31" t="str">
        <f aca="false">IF(Raw_Data!F94="","",Raw_Data!F94)</f>
        <v>Request for Information</v>
      </c>
      <c r="G94" s="32" t="str">
        <f aca="false">IF(Raw_Data!G94="","",Raw_Data!G94)</f>
        <v>Non-Sensitive</v>
      </c>
      <c r="H94" s="32" t="str">
        <f aca="false">IFERROR(INDEX(Reference_Lists!$C$51:$C$57,MATCH(PROPER(TRIM(Raw_Data!H94)),Reference_Lists!$B$51:$B$57,0)),"UNMATCHED")</f>
        <v>Female</v>
      </c>
      <c r="I94" s="32" t="str">
        <f aca="false">IF(Raw_Data!I94="","",Raw_Data!I94)</f>
        <v>30-44</v>
      </c>
      <c r="J94" s="32" t="str">
        <f aca="false">IFERROR(INDEX(Reference_Lists!$C$58:$C$65,MATCH(PROPER(TRIM(Raw_Data!J94)),Reference_Lists!$B$58:$B$65,0)),"UNMATCHED")</f>
        <v>Closed</v>
      </c>
      <c r="K94" s="30" t="n">
        <f aca="false">IF(Raw_Data!K94="","",IF(ISTEXT(Raw_Data!K94),IFERROR(DATE(VALUE(RIGHT(TRIM(Raw_Data!K94),4)),VALUE(MID(TRIM(Raw_Data!K94),4,2)),VALUE(LEFT(TRIM(Raw_Data!K94),2))),"CHECK"),Raw_Data!K94))</f>
        <v>46128</v>
      </c>
      <c r="L94" s="33" t="str">
        <f aca="false">IF(Raw_Data!L94="","",Raw_Data!L94)</f>
        <v>Asking how the beneficiary list for the next round is prepared.</v>
      </c>
      <c r="M94" s="34" t="n">
        <f aca="false">IF(OR(B94="",K94=""),"",IFERROR(K94-B94,"CHECK"))</f>
        <v>26</v>
      </c>
      <c r="N94" s="34" t="n">
        <f aca="false">IFERROR(INDEX(Reference_Lists!$H$13:$H$14,MATCH(G94,Reference_Lists!$G$13:$G$14,0)),"UNMATCHED")</f>
        <v>15</v>
      </c>
      <c r="O94" s="35" t="b">
        <f aca="false">IF(AND(J94="Closed",ISNUMBER(M94),ISNUMBER(N94),M94&gt;=0),M94&lt;=N94,"NOT ASSESSED")</f>
        <v>0</v>
      </c>
      <c r="P94" s="36" t="str">
        <f aca="false">Raw_Data!A94</f>
        <v>CFM-2026-0127</v>
      </c>
      <c r="Q94" s="37" t="str">
        <f aca="false">IFERROR(IF(OR($A94="",$P94=""),"MISSING ID",IF(EXACT($A94,$P94),"ALIGNED","MISMATCH")),"CHECK")</f>
        <v>ALIGNED</v>
      </c>
    </row>
    <row r="95" customFormat="false" ht="19.5" hidden="false" customHeight="true" outlineLevel="0" collapsed="false">
      <c r="A95" s="29" t="s">
        <v>201</v>
      </c>
      <c r="B95" s="30" t="n">
        <f aca="false">IF(Raw_Data!B95="","",IF(ISTEXT(Raw_Data!B95),IFERROR(DATE(VALUE(RIGHT(TRIM(Raw_Data!B95),4)),VALUE(MID(TRIM(Raw_Data!B95),4,2)),VALUE(LEFT(TRIM(Raw_Data!B95),2))),"CHECK"),Raw_Data!B95))</f>
        <v>46114</v>
      </c>
      <c r="C95" s="31" t="str">
        <f aca="false">IFERROR(INDEX(Reference_Lists!$C$23:$C$35,MATCH(PROPER(TRIM(Raw_Data!C95)),Reference_Lists!$B$23:$B$35,0)),"UNMATCHED")</f>
        <v>Help Desk</v>
      </c>
      <c r="D95" s="31" t="str">
        <f aca="false">IFERROR(INDEX(Reference_Lists!$C$36:$C$50,MATCH(PROPER(TRIM(Raw_Data!D95)),Reference_Lists!$B$36:$B$50,0)),"UNMATCHED")</f>
        <v>Jabalia</v>
      </c>
      <c r="E95" s="31" t="str">
        <f aca="false">IF(Raw_Data!E95="","",Raw_Data!E95)</f>
        <v>WASH</v>
      </c>
      <c r="F95" s="31" t="str">
        <f aca="false">IF(Raw_Data!F95="","",Raw_Data!F95)</f>
        <v>Request for Information</v>
      </c>
      <c r="G95" s="32" t="str">
        <f aca="false">IF(Raw_Data!G95="","",Raw_Data!G95)</f>
        <v>Non-Sensitive</v>
      </c>
      <c r="H95" s="32" t="str">
        <f aca="false">IFERROR(INDEX(Reference_Lists!$C$51:$C$57,MATCH(PROPER(TRIM(Raw_Data!H95)),Reference_Lists!$B$51:$B$57,0)),"UNMATCHED")</f>
        <v>Female</v>
      </c>
      <c r="I95" s="32" t="str">
        <f aca="false">IF(Raw_Data!I95="","",Raw_Data!I95)</f>
        <v>Under 18</v>
      </c>
      <c r="J95" s="32" t="str">
        <f aca="false">IFERROR(INDEX(Reference_Lists!$C$58:$C$65,MATCH(PROPER(TRIM(Raw_Data!J95)),Reference_Lists!$B$58:$B$65,0)),"UNMATCHED")</f>
        <v>Closed</v>
      </c>
      <c r="K95" s="30" t="n">
        <f aca="false">IF(Raw_Data!K95="","",IF(ISTEXT(Raw_Data!K95),IFERROR(DATE(VALUE(RIGHT(TRIM(Raw_Data!K95),4)),VALUE(MID(TRIM(Raw_Data!K95),4,2)),VALUE(LEFT(TRIM(Raw_Data!K95),2))),"CHECK"),Raw_Data!K95))</f>
        <v>46115</v>
      </c>
      <c r="L95" s="33" t="str">
        <f aca="false">IF(Raw_Data!L95="","",Raw_Data!L95)</f>
        <v>Water truck did not arrive at the agreed time for three consecutive days.</v>
      </c>
      <c r="M95" s="34" t="n">
        <f aca="false">IF(OR(B95="",K95=""),"",IFERROR(K95-B95,"CHECK"))</f>
        <v>1</v>
      </c>
      <c r="N95" s="34" t="n">
        <f aca="false">IFERROR(INDEX(Reference_Lists!$H$13:$H$14,MATCH(G95,Reference_Lists!$G$13:$G$14,0)),"UNMATCHED")</f>
        <v>15</v>
      </c>
      <c r="O95" s="35" t="b">
        <f aca="false">IF(AND(J95="Closed",ISNUMBER(M95),ISNUMBER(N95),M95&gt;=0),M95&lt;=N95,"NOT ASSESSED")</f>
        <v>1</v>
      </c>
      <c r="P95" s="36" t="str">
        <f aca="false">Raw_Data!A95</f>
        <v>CFM-2026-0319</v>
      </c>
      <c r="Q95" s="37" t="str">
        <f aca="false">IFERROR(IF(OR($A95="",$P95=""),"MISSING ID",IF(EXACT($A95,$P95),"ALIGNED","MISMATCH")),"CHECK")</f>
        <v>ALIGNED</v>
      </c>
    </row>
    <row r="96" customFormat="false" ht="19.5" hidden="false" customHeight="true" outlineLevel="0" collapsed="false">
      <c r="A96" s="29" t="s">
        <v>204</v>
      </c>
      <c r="B96" s="30" t="n">
        <f aca="false">IF(Raw_Data!B96="","",IF(ISTEXT(Raw_Data!B96),IFERROR(DATE(VALUE(RIGHT(TRIM(Raw_Data!B96),4)),VALUE(MID(TRIM(Raw_Data!B96),4,2)),VALUE(LEFT(TRIM(Raw_Data!B96),2))),"CHECK"),Raw_Data!B96))</f>
        <v>46197</v>
      </c>
      <c r="C96" s="31" t="str">
        <f aca="false">IFERROR(INDEX(Reference_Lists!$C$23:$C$35,MATCH(PROPER(TRIM(Raw_Data!C96)),Reference_Lists!$B$23:$B$35,0)),"UNMATCHED")</f>
        <v>Help Desk</v>
      </c>
      <c r="D96" s="31" t="str">
        <f aca="false">IFERROR(INDEX(Reference_Lists!$C$36:$C$50,MATCH(PROPER(TRIM(Raw_Data!D96)),Reference_Lists!$B$36:$B$50,0)),"UNMATCHED")</f>
        <v>Gaza City</v>
      </c>
      <c r="E96" s="31" t="str">
        <f aca="false">IF(Raw_Data!E96="","",Raw_Data!E96)</f>
        <v>Shelter</v>
      </c>
      <c r="F96" s="31" t="str">
        <f aca="false">IF(Raw_Data!F96="","",Raw_Data!F96)</f>
        <v>Request for Information</v>
      </c>
      <c r="G96" s="32" t="str">
        <f aca="false">IF(Raw_Data!G96="","",Raw_Data!G96)</f>
        <v>Non-Sensitive</v>
      </c>
      <c r="H96" s="32" t="str">
        <f aca="false">IFERROR(INDEX(Reference_Lists!$C$51:$C$57,MATCH(PROPER(TRIM(Raw_Data!H96)),Reference_Lists!$B$51:$B$57,0)),"UNMATCHED")</f>
        <v>Female</v>
      </c>
      <c r="I96" s="32" t="str">
        <f aca="false">IF(Raw_Data!I96="","",Raw_Data!I96)</f>
        <v>30-44</v>
      </c>
      <c r="J96" s="32" t="str">
        <f aca="false">IFERROR(INDEX(Reference_Lists!$C$58:$C$65,MATCH(PROPER(TRIM(Raw_Data!J96)),Reference_Lists!$B$58:$B$65,0)),"UNMATCHED")</f>
        <v>Closed</v>
      </c>
      <c r="K96" s="30" t="n">
        <f aca="false">IF(Raw_Data!K96="","",IF(ISTEXT(Raw_Data!K96),IFERROR(DATE(VALUE(RIGHT(TRIM(Raw_Data!K96),4)),VALUE(MID(TRIM(Raw_Data!K96),4,2)),VALUE(LEFT(TRIM(Raw_Data!K96),2))),"CHECK"),Raw_Data!K96))</f>
        <v>46202</v>
      </c>
      <c r="L96" s="33" t="str">
        <f aca="false">IF(Raw_Data!L96="","",Raw_Data!L96)</f>
        <v>Shelter kit delivered on time and the team explained the use clearly.</v>
      </c>
      <c r="M96" s="34" t="n">
        <f aca="false">IF(OR(B96="",K96=""),"",IFERROR(K96-B96,"CHECK"))</f>
        <v>5</v>
      </c>
      <c r="N96" s="34" t="n">
        <f aca="false">IFERROR(INDEX(Reference_Lists!$H$13:$H$14,MATCH(G96,Reference_Lists!$G$13:$G$14,0)),"UNMATCHED")</f>
        <v>15</v>
      </c>
      <c r="O96" s="35" t="b">
        <f aca="false">IF(AND(J96="Closed",ISNUMBER(M96),ISNUMBER(N96),M96&gt;=0),M96&lt;=N96,"NOT ASSESSED")</f>
        <v>1</v>
      </c>
      <c r="P96" s="36" t="str">
        <f aca="false">Raw_Data!A96</f>
        <v>CFM-2026-0112</v>
      </c>
      <c r="Q96" s="37" t="str">
        <f aca="false">IFERROR(IF(OR($A96="",$P96=""),"MISSING ID",IF(EXACT($A96,$P96),"ALIGNED","MISMATCH")),"CHECK")</f>
        <v>ALIGNED</v>
      </c>
    </row>
    <row r="97" customFormat="false" ht="19.5" hidden="false" customHeight="true" outlineLevel="0" collapsed="false">
      <c r="A97" s="29" t="s">
        <v>206</v>
      </c>
      <c r="B97" s="30" t="n">
        <f aca="false">IF(Raw_Data!B97="","",IF(ISTEXT(Raw_Data!B97),IFERROR(DATE(VALUE(RIGHT(TRIM(Raw_Data!B97),4)),VALUE(MID(TRIM(Raw_Data!B97),4,2)),VALUE(LEFT(TRIM(Raw_Data!B97),2))),"CHECK"),Raw_Data!B97))</f>
        <v>46163</v>
      </c>
      <c r="C97" s="31" t="str">
        <f aca="false">IFERROR(INDEX(Reference_Lists!$C$23:$C$35,MATCH(PROPER(TRIM(Raw_Data!C97)),Reference_Lists!$B$23:$B$35,0)),"UNMATCHED")</f>
        <v>Help Desk</v>
      </c>
      <c r="D97" s="31" t="str">
        <f aca="false">IFERROR(INDEX(Reference_Lists!$C$36:$C$50,MATCH(PROPER(TRIM(Raw_Data!D97)),Reference_Lists!$B$36:$B$50,0)),"UNMATCHED")</f>
        <v>Khan Yunis</v>
      </c>
      <c r="E97" s="31" t="str">
        <f aca="false">IF(Raw_Data!E97="","",Raw_Data!E97)</f>
        <v>Shelter</v>
      </c>
      <c r="F97" s="31" t="str">
        <f aca="false">IF(Raw_Data!F97="","",Raw_Data!F97)</f>
        <v>Appreciation</v>
      </c>
      <c r="G97" s="32" t="str">
        <f aca="false">IF(Raw_Data!G97="","",Raw_Data!G97)</f>
        <v>Non-Sensitive</v>
      </c>
      <c r="H97" s="32" t="str">
        <f aca="false">IFERROR(INDEX(Reference_Lists!$C$51:$C$57,MATCH(PROPER(TRIM(Raw_Data!H97)),Reference_Lists!$B$51:$B$57,0)),"UNMATCHED")</f>
        <v>Male</v>
      </c>
      <c r="I97" s="32" t="str">
        <f aca="false">IF(Raw_Data!I97="","",Raw_Data!I97)</f>
        <v>30-44</v>
      </c>
      <c r="J97" s="32" t="str">
        <f aca="false">IFERROR(INDEX(Reference_Lists!$C$58:$C$65,MATCH(PROPER(TRIM(Raw_Data!J97)),Reference_Lists!$B$58:$B$65,0)),"UNMATCHED")</f>
        <v>Closed</v>
      </c>
      <c r="K97" s="30" t="n">
        <f aca="false">IF(Raw_Data!K97="","",IF(ISTEXT(Raw_Data!K97),IFERROR(DATE(VALUE(RIGHT(TRIM(Raw_Data!K97),4)),VALUE(MID(TRIM(Raw_Data!K97),4,2)),VALUE(LEFT(TRIM(Raw_Data!K97),2))),"CHECK"),Raw_Data!K97))</f>
        <v>46178</v>
      </c>
      <c r="L97" s="33" t="str">
        <f aca="false">IF(Raw_Data!L97="","",Raw_Data!L97)</f>
        <v>Shelter kit delivered on time and the team explained the use clearly.</v>
      </c>
      <c r="M97" s="34" t="n">
        <f aca="false">IF(OR(B97="",K97=""),"",IFERROR(K97-B97,"CHECK"))</f>
        <v>15</v>
      </c>
      <c r="N97" s="34" t="n">
        <f aca="false">IFERROR(INDEX(Reference_Lists!$H$13:$H$14,MATCH(G97,Reference_Lists!$G$13:$G$14,0)),"UNMATCHED")</f>
        <v>15</v>
      </c>
      <c r="O97" s="35" t="b">
        <f aca="false">IF(AND(J97="Closed",ISNUMBER(M97),ISNUMBER(N97),M97&gt;=0),M97&lt;=N97,"NOT ASSESSED")</f>
        <v>1</v>
      </c>
      <c r="P97" s="36" t="str">
        <f aca="false">Raw_Data!A97</f>
        <v>CFM-2026-0364</v>
      </c>
      <c r="Q97" s="37" t="str">
        <f aca="false">IFERROR(IF(OR($A97="",$P97=""),"MISSING ID",IF(EXACT($A97,$P97),"ALIGNED","MISMATCH")),"CHECK")</f>
        <v>ALIGNED</v>
      </c>
    </row>
    <row r="98" customFormat="false" ht="19.5" hidden="false" customHeight="true" outlineLevel="0" collapsed="false">
      <c r="A98" s="29" t="s">
        <v>207</v>
      </c>
      <c r="B98" s="30" t="n">
        <f aca="false">IF(Raw_Data!B98="","",IF(ISTEXT(Raw_Data!B98),IFERROR(DATE(VALUE(RIGHT(TRIM(Raw_Data!B98),4)),VALUE(MID(TRIM(Raw_Data!B98),4,2)),VALUE(LEFT(TRIM(Raw_Data!B98),2))),"CHECK"),Raw_Data!B98))</f>
        <v>46050</v>
      </c>
      <c r="C98" s="31" t="str">
        <f aca="false">IFERROR(INDEX(Reference_Lists!$C$23:$C$35,MATCH(PROPER(TRIM(Raw_Data!C98)),Reference_Lists!$B$23:$B$35,0)),"UNMATCHED")</f>
        <v>Help Desk</v>
      </c>
      <c r="D98" s="31" t="str">
        <f aca="false">IFERROR(INDEX(Reference_Lists!$C$36:$C$50,MATCH(PROPER(TRIM(Raw_Data!D98)),Reference_Lists!$B$36:$B$50,0)),"UNMATCHED")</f>
        <v>Deir al-Balah</v>
      </c>
      <c r="E98" s="31" t="str">
        <f aca="false">IF(Raw_Data!E98="","",Raw_Data!E98)</f>
        <v>Health</v>
      </c>
      <c r="F98" s="31" t="str">
        <f aca="false">IF(Raw_Data!F98="","",Raw_Data!F98)</f>
        <v>Request for Information</v>
      </c>
      <c r="G98" s="32" t="str">
        <f aca="false">IF(Raw_Data!G98="","",Raw_Data!G98)</f>
        <v>Non-Sensitive</v>
      </c>
      <c r="H98" s="32" t="str">
        <f aca="false">IFERROR(INDEX(Reference_Lists!$C$51:$C$57,MATCH(PROPER(TRIM(Raw_Data!H98)),Reference_Lists!$B$51:$B$57,0)),"UNMATCHED")</f>
        <v>Male</v>
      </c>
      <c r="I98" s="32" t="str">
        <f aca="false">IF(Raw_Data!I98="","",Raw_Data!I98)</f>
        <v>30-44</v>
      </c>
      <c r="J98" s="32" t="str">
        <f aca="false">IFERROR(INDEX(Reference_Lists!$C$58:$C$65,MATCH(PROPER(TRIM(Raw_Data!J98)),Reference_Lists!$B$58:$B$65,0)),"UNMATCHED")</f>
        <v>Closed</v>
      </c>
      <c r="K98" s="30" t="n">
        <f aca="false">IF(Raw_Data!K98="","",IF(ISTEXT(Raw_Data!K98),IFERROR(DATE(VALUE(RIGHT(TRIM(Raw_Data!K98),4)),VALUE(MID(TRIM(Raw_Data!K98),4,2)),VALUE(LEFT(TRIM(Raw_Data!K98),2))),"CHECK"),Raw_Data!K98))</f>
        <v>46063</v>
      </c>
      <c r="L98" s="33" t="str">
        <f aca="false">IF(Raw_Data!L98="","",Raw_Data!L98)</f>
        <v>Waiting time at the mobile clinic is long during afternoon hours.</v>
      </c>
      <c r="M98" s="34" t="n">
        <f aca="false">IF(OR(B98="",K98=""),"",IFERROR(K98-B98,"CHECK"))</f>
        <v>13</v>
      </c>
      <c r="N98" s="34" t="n">
        <f aca="false">IFERROR(INDEX(Reference_Lists!$H$13:$H$14,MATCH(G98,Reference_Lists!$G$13:$G$14,0)),"UNMATCHED")</f>
        <v>15</v>
      </c>
      <c r="O98" s="35" t="b">
        <f aca="false">IF(AND(J98="Closed",ISNUMBER(M98),ISNUMBER(N98),M98&gt;=0),M98&lt;=N98,"NOT ASSESSED")</f>
        <v>1</v>
      </c>
      <c r="P98" s="36" t="str">
        <f aca="false">Raw_Data!A98</f>
        <v>CFM-2026-0048</v>
      </c>
      <c r="Q98" s="37" t="str">
        <f aca="false">IFERROR(IF(OR($A98="",$P98=""),"MISSING ID",IF(EXACT($A98,$P98),"ALIGNED","MISMATCH")),"CHECK")</f>
        <v>ALIGNED</v>
      </c>
    </row>
    <row r="99" customFormat="false" ht="19.5" hidden="false" customHeight="true" outlineLevel="0" collapsed="false">
      <c r="A99" s="29" t="s">
        <v>208</v>
      </c>
      <c r="B99" s="30" t="n">
        <f aca="false">IF(Raw_Data!B99="","",IF(ISTEXT(Raw_Data!B99),IFERROR(DATE(VALUE(RIGHT(TRIM(Raw_Data!B99),4)),VALUE(MID(TRIM(Raw_Data!B99),4,2)),VALUE(LEFT(TRIM(Raw_Data!B99),2))),"CHECK"),Raw_Data!B99))</f>
        <v>46203</v>
      </c>
      <c r="C99" s="31" t="str">
        <f aca="false">IFERROR(INDEX(Reference_Lists!$C$23:$C$35,MATCH(PROPER(TRIM(Raw_Data!C99)),Reference_Lists!$B$23:$B$35,0)),"UNMATCHED")</f>
        <v>Help Desk</v>
      </c>
      <c r="D99" s="31" t="str">
        <f aca="false">IFERROR(INDEX(Reference_Lists!$C$36:$C$50,MATCH(PROPER(TRIM(Raw_Data!D99)),Reference_Lists!$B$36:$B$50,0)),"UNMATCHED")</f>
        <v>Rafah</v>
      </c>
      <c r="E99" s="31" t="str">
        <f aca="false">IF(Raw_Data!E99="","",Raw_Data!E99)</f>
        <v>Nutrition</v>
      </c>
      <c r="F99" s="31" t="str">
        <f aca="false">IF(Raw_Data!F99="","",Raw_Data!F99)</f>
        <v>Complaint</v>
      </c>
      <c r="G99" s="32" t="str">
        <f aca="false">IF(Raw_Data!G99="","",Raw_Data!G99)</f>
        <v>Non-Sensitive</v>
      </c>
      <c r="H99" s="32" t="str">
        <f aca="false">IFERROR(INDEX(Reference_Lists!$C$51:$C$57,MATCH(PROPER(TRIM(Raw_Data!H99)),Reference_Lists!$B$51:$B$57,0)),"UNMATCHED")</f>
        <v>Female</v>
      </c>
      <c r="I99" s="32" t="str">
        <f aca="false">IF(Raw_Data!I99="","",Raw_Data!I99)</f>
        <v>45-59</v>
      </c>
      <c r="J99" s="32" t="str">
        <f aca="false">IFERROR(INDEX(Reference_Lists!$C$58:$C$65,MATCH(PROPER(TRIM(Raw_Data!J99)),Reference_Lists!$B$58:$B$65,0)),"UNMATCHED")</f>
        <v>Closed</v>
      </c>
      <c r="K99" s="30" t="n">
        <f aca="false">IF(Raw_Data!K99="","",IF(ISTEXT(Raw_Data!K99),IFERROR(DATE(VALUE(RIGHT(TRIM(Raw_Data!K99),4)),VALUE(MID(TRIM(Raw_Data!K99),4,2)),VALUE(LEFT(TRIM(Raw_Data!K99),2))),"CHECK"),Raw_Data!K99))</f>
        <v>46209</v>
      </c>
      <c r="L99" s="33" t="str">
        <f aca="false">IF(Raw_Data!L99="","",Raw_Data!L99)</f>
        <v>Supplement was received but the guidance sheet was in English only.</v>
      </c>
      <c r="M99" s="34" t="n">
        <f aca="false">IF(OR(B99="",K99=""),"",IFERROR(K99-B99,"CHECK"))</f>
        <v>6</v>
      </c>
      <c r="N99" s="34" t="n">
        <f aca="false">IFERROR(INDEX(Reference_Lists!$H$13:$H$14,MATCH(G99,Reference_Lists!$G$13:$G$14,0)),"UNMATCHED")</f>
        <v>15</v>
      </c>
      <c r="O99" s="35" t="b">
        <f aca="false">IF(AND(J99="Closed",ISNUMBER(M99),ISNUMBER(N99),M99&gt;=0),M99&lt;=N99,"NOT ASSESSED")</f>
        <v>1</v>
      </c>
      <c r="P99" s="36" t="str">
        <f aca="false">Raw_Data!A99</f>
        <v>CFM-2026-0222</v>
      </c>
      <c r="Q99" s="37" t="str">
        <f aca="false">IFERROR(IF(OR($A99="",$P99=""),"MISSING ID",IF(EXACT($A99,$P99),"ALIGNED","MISMATCH")),"CHECK")</f>
        <v>ALIGNED</v>
      </c>
    </row>
    <row r="100" customFormat="false" ht="19.5" hidden="false" customHeight="true" outlineLevel="0" collapsed="false">
      <c r="A100" s="29" t="s">
        <v>209</v>
      </c>
      <c r="B100" s="30" t="n">
        <f aca="false">IF(Raw_Data!B100="","",IF(ISTEXT(Raw_Data!B100),IFERROR(DATE(VALUE(RIGHT(TRIM(Raw_Data!B100),4)),VALUE(MID(TRIM(Raw_Data!B100),4,2)),VALUE(LEFT(TRIM(Raw_Data!B100),2))),"CHECK"),Raw_Data!B100))</f>
        <v>46030</v>
      </c>
      <c r="C100" s="31" t="str">
        <f aca="false">IFERROR(INDEX(Reference_Lists!$C$23:$C$35,MATCH(PROPER(TRIM(Raw_Data!C100)),Reference_Lists!$B$23:$B$35,0)),"UNMATCHED")</f>
        <v>Help Desk</v>
      </c>
      <c r="D100" s="31" t="str">
        <f aca="false">IFERROR(INDEX(Reference_Lists!$C$36:$C$50,MATCH(PROPER(TRIM(Raw_Data!D100)),Reference_Lists!$B$36:$B$50,0)),"UNMATCHED")</f>
        <v>Gaza City</v>
      </c>
      <c r="E100" s="31" t="str">
        <f aca="false">IF(Raw_Data!E100="","",Raw_Data!E100)</f>
        <v>Nutrition</v>
      </c>
      <c r="F100" s="31" t="str">
        <f aca="false">IF(Raw_Data!F100="","",Raw_Data!F100)</f>
        <v>Sensitive Complaint</v>
      </c>
      <c r="G100" s="32" t="str">
        <f aca="false">IF(Raw_Data!G100="","",Raw_Data!G100)</f>
        <v>Sensitive</v>
      </c>
      <c r="H100" s="32" t="str">
        <f aca="false">IFERROR(INDEX(Reference_Lists!$C$51:$C$57,MATCH(PROPER(TRIM(Raw_Data!H100)),Reference_Lists!$B$51:$B$57,0)),"UNMATCHED")</f>
        <v>Male</v>
      </c>
      <c r="I100" s="32" t="str">
        <f aca="false">IF(Raw_Data!I100="","",Raw_Data!I100)</f>
        <v>30-44</v>
      </c>
      <c r="J100" s="32" t="str">
        <f aca="false">IFERROR(INDEX(Reference_Lists!$C$58:$C$65,MATCH(PROPER(TRIM(Raw_Data!J100)),Reference_Lists!$B$58:$B$65,0)),"UNMATCHED")</f>
        <v>Closed</v>
      </c>
      <c r="K100" s="30" t="n">
        <f aca="false">IF(Raw_Data!K100="","",IF(ISTEXT(Raw_Data!K100),IFERROR(DATE(VALUE(RIGHT(TRIM(Raw_Data!K100),4)),VALUE(MID(TRIM(Raw_Data!K100),4,2)),VALUE(LEFT(TRIM(Raw_Data!K100),2))),"CHECK"),Raw_Data!K100))</f>
        <v>46053</v>
      </c>
      <c r="L100" s="33" t="str">
        <f aca="false">IF(Raw_Data!L100="","",Raw_Data!L100)</f>
        <v>Sensitive case - details recorded separately by the focal point; not stored in this tracker.</v>
      </c>
      <c r="M100" s="34" t="n">
        <f aca="false">IF(OR(B100="",K100=""),"",IFERROR(K100-B100,"CHECK"))</f>
        <v>23</v>
      </c>
      <c r="N100" s="34" t="n">
        <f aca="false">IFERROR(INDEX(Reference_Lists!$H$13:$H$14,MATCH(G100,Reference_Lists!$G$13:$G$14,0)),"UNMATCHED")</f>
        <v>3</v>
      </c>
      <c r="O100" s="35" t="b">
        <f aca="false">IF(AND(J100="Closed",ISNUMBER(M100),ISNUMBER(N100),M100&gt;=0),M100&lt;=N100,"NOT ASSESSED")</f>
        <v>0</v>
      </c>
      <c r="P100" s="36" t="str">
        <f aca="false">Raw_Data!A100</f>
        <v>CFM-2026-0404</v>
      </c>
      <c r="Q100" s="37" t="str">
        <f aca="false">IFERROR(IF(OR($A100="",$P100=""),"MISSING ID",IF(EXACT($A100,$P100),"ALIGNED","MISMATCH")),"CHECK")</f>
        <v>ALIGNED</v>
      </c>
    </row>
    <row r="101" customFormat="false" ht="19.5" hidden="false" customHeight="true" outlineLevel="0" collapsed="false">
      <c r="A101" s="29" t="s">
        <v>210</v>
      </c>
      <c r="B101" s="30" t="n">
        <f aca="false">IF(Raw_Data!B101="","",IF(ISTEXT(Raw_Data!B101),IFERROR(DATE(VALUE(RIGHT(TRIM(Raw_Data!B101),4)),VALUE(MID(TRIM(Raw_Data!B101),4,2)),VALUE(LEFT(TRIM(Raw_Data!B101),2))),"CHECK"),Raw_Data!B101))</f>
        <v>46191</v>
      </c>
      <c r="C101" s="31" t="str">
        <f aca="false">IFERROR(INDEX(Reference_Lists!$C$23:$C$35,MATCH(PROPER(TRIM(Raw_Data!C101)),Reference_Lists!$B$23:$B$35,0)),"UNMATCHED")</f>
        <v>Help Desk</v>
      </c>
      <c r="D101" s="31" t="str">
        <f aca="false">IFERROR(INDEX(Reference_Lists!$C$36:$C$50,MATCH(PROPER(TRIM(Raw_Data!D101)),Reference_Lists!$B$36:$B$50,0)),"UNMATCHED")</f>
        <v>Rafah</v>
      </c>
      <c r="E101" s="31" t="str">
        <f aca="false">IF(Raw_Data!E101="","",Raw_Data!E101)</f>
        <v>Shelter</v>
      </c>
      <c r="F101" s="31" t="str">
        <f aca="false">IF(Raw_Data!F101="","",Raw_Data!F101)</f>
        <v>Appreciation</v>
      </c>
      <c r="G101" s="32" t="str">
        <f aca="false">IF(Raw_Data!G101="","",Raw_Data!G101)</f>
        <v>Non-Sensitive</v>
      </c>
      <c r="H101" s="32" t="str">
        <f aca="false">IFERROR(INDEX(Reference_Lists!$C$51:$C$57,MATCH(PROPER(TRIM(Raw_Data!H101)),Reference_Lists!$B$51:$B$57,0)),"UNMATCHED")</f>
        <v>Male</v>
      </c>
      <c r="I101" s="32" t="str">
        <f aca="false">IF(Raw_Data!I101="","",Raw_Data!I101)</f>
        <v>18-29</v>
      </c>
      <c r="J101" s="32" t="str">
        <f aca="false">IFERROR(INDEX(Reference_Lists!$C$58:$C$65,MATCH(PROPER(TRIM(Raw_Data!J101)),Reference_Lists!$B$58:$B$65,0)),"UNMATCHED")</f>
        <v>In Progress</v>
      </c>
      <c r="K101" s="30" t="str">
        <f aca="false">IF(Raw_Data!K101="","",IF(ISTEXT(Raw_Data!K101),IFERROR(DATE(VALUE(RIGHT(TRIM(Raw_Data!K101),4)),VALUE(MID(TRIM(Raw_Data!K101),4,2)),VALUE(LEFT(TRIM(Raw_Data!K101),2))),"CHECK"),Raw_Data!K101))</f>
        <v/>
      </c>
      <c r="L101" s="33" t="str">
        <f aca="false">IF(Raw_Data!L101="","",Raw_Data!L101)</f>
        <v>Requesting information about the criteria for shelter repair kits.</v>
      </c>
      <c r="M101" s="34" t="str">
        <f aca="false">IF(OR(B101="",K101=""),"",IFERROR(K101-B101,"CHECK"))</f>
        <v/>
      </c>
      <c r="N101" s="34" t="n">
        <f aca="false">IFERROR(INDEX(Reference_Lists!$H$13:$H$14,MATCH(G101,Reference_Lists!$G$13:$G$14,0)),"UNMATCHED")</f>
        <v>15</v>
      </c>
      <c r="O101" s="32" t="str">
        <f aca="false">IF(AND(J101="Closed",ISNUMBER(M101),ISNUMBER(N101),M101&gt;=0),M101&lt;=N101,"NOT ASSESSED")</f>
        <v>NOT ASSESSED</v>
      </c>
      <c r="P101" s="36" t="str">
        <f aca="false">Raw_Data!A101</f>
        <v>CFM-2026-0429</v>
      </c>
      <c r="Q101" s="37" t="str">
        <f aca="false">IFERROR(IF(OR($A101="",$P101=""),"MISSING ID",IF(EXACT($A101,$P101),"ALIGNED","MISMATCH")),"CHECK")</f>
        <v>ALIGNED</v>
      </c>
    </row>
    <row r="102" customFormat="false" ht="19.5" hidden="false" customHeight="true" outlineLevel="0" collapsed="false">
      <c r="A102" s="29" t="s">
        <v>211</v>
      </c>
      <c r="B102" s="30" t="n">
        <f aca="false">IF(Raw_Data!B102="","",IF(ISTEXT(Raw_Data!B102),IFERROR(DATE(VALUE(RIGHT(TRIM(Raw_Data!B102),4)),VALUE(MID(TRIM(Raw_Data!B102),4,2)),VALUE(LEFT(TRIM(Raw_Data!B102),2))),"CHECK"),Raw_Data!B102))</f>
        <v>46074</v>
      </c>
      <c r="C102" s="31" t="str">
        <f aca="false">IFERROR(INDEX(Reference_Lists!$C$23:$C$35,MATCH(PROPER(TRIM(Raw_Data!C102)),Reference_Lists!$B$23:$B$35,0)),"UNMATCHED")</f>
        <v>Phone Hotline</v>
      </c>
      <c r="D102" s="31" t="str">
        <f aca="false">IFERROR(INDEX(Reference_Lists!$C$36:$C$50,MATCH(PROPER(TRIM(Raw_Data!D102)),Reference_Lists!$B$36:$B$50,0)),"UNMATCHED")</f>
        <v>Gaza City</v>
      </c>
      <c r="E102" s="31" t="str">
        <f aca="false">IF(Raw_Data!E102="","",Raw_Data!E102)</f>
        <v>Nutrition</v>
      </c>
      <c r="F102" s="31" t="str">
        <f aca="false">IF(Raw_Data!F102="","",Raw_Data!F102)</f>
        <v>Suggestion</v>
      </c>
      <c r="G102" s="32" t="str">
        <f aca="false">IF(Raw_Data!G102="","",Raw_Data!G102)</f>
        <v>Non-Sensitive</v>
      </c>
      <c r="H102" s="32" t="str">
        <f aca="false">IFERROR(INDEX(Reference_Lists!$C$51:$C$57,MATCH(PROPER(TRIM(Raw_Data!H102)),Reference_Lists!$B$51:$B$57,0)),"UNMATCHED")</f>
        <v>Female</v>
      </c>
      <c r="I102" s="32" t="str">
        <f aca="false">IF(Raw_Data!I102="","",Raw_Data!I102)</f>
        <v>18-29</v>
      </c>
      <c r="J102" s="32" t="str">
        <f aca="false">IFERROR(INDEX(Reference_Lists!$C$58:$C$65,MATCH(PROPER(TRIM(Raw_Data!J102)),Reference_Lists!$B$58:$B$65,0)),"UNMATCHED")</f>
        <v>Referred</v>
      </c>
      <c r="K102" s="30" t="str">
        <f aca="false">IF(Raw_Data!K102="","",IF(ISTEXT(Raw_Data!K102),IFERROR(DATE(VALUE(RIGHT(TRIM(Raw_Data!K102),4)),VALUE(MID(TRIM(Raw_Data!K102),4,2)),VALUE(LEFT(TRIM(Raw_Data!K102),2))),"CHECK"),Raw_Data!K102))</f>
        <v/>
      </c>
      <c r="L102" s="33" t="str">
        <f aca="false">IF(Raw_Data!L102="","",Raw_Data!L102)</f>
        <v>Supplement was received but the guidance sheet was in English only.</v>
      </c>
      <c r="M102" s="34" t="str">
        <f aca="false">IF(OR(B102="",K102=""),"",IFERROR(K102-B102,"CHECK"))</f>
        <v/>
      </c>
      <c r="N102" s="34" t="n">
        <f aca="false">IFERROR(INDEX(Reference_Lists!$H$13:$H$14,MATCH(G102,Reference_Lists!$G$13:$G$14,0)),"UNMATCHED")</f>
        <v>15</v>
      </c>
      <c r="O102" s="32" t="str">
        <f aca="false">IF(AND(J102="Closed",ISNUMBER(M102),ISNUMBER(N102),M102&gt;=0),M102&lt;=N102,"NOT ASSESSED")</f>
        <v>NOT ASSESSED</v>
      </c>
      <c r="P102" s="36" t="str">
        <f aca="false">Raw_Data!A102</f>
        <v>CFM-2026-0182</v>
      </c>
      <c r="Q102" s="37" t="str">
        <f aca="false">IFERROR(IF(OR($A102="",$P102=""),"MISSING ID",IF(EXACT($A102,$P102),"ALIGNED","MISMATCH")),"CHECK")</f>
        <v>ALIGNED</v>
      </c>
    </row>
    <row r="103" customFormat="false" ht="19.5" hidden="false" customHeight="true" outlineLevel="0" collapsed="false">
      <c r="A103" s="29" t="s">
        <v>212</v>
      </c>
      <c r="B103" s="30" t="n">
        <f aca="false">IF(Raw_Data!B103="","",IF(ISTEXT(Raw_Data!B103),IFERROR(DATE(VALUE(RIGHT(TRIM(Raw_Data!B103),4)),VALUE(MID(TRIM(Raw_Data!B103),4,2)),VALUE(LEFT(TRIM(Raw_Data!B103),2))),"CHECK"),Raw_Data!B103))</f>
        <v>46167</v>
      </c>
      <c r="C103" s="31" t="str">
        <f aca="false">IFERROR(INDEX(Reference_Lists!$C$23:$C$35,MATCH(PROPER(TRIM(Raw_Data!C103)),Reference_Lists!$B$23:$B$35,0)),"UNMATCHED")</f>
        <v>Community Focal Point</v>
      </c>
      <c r="D103" s="31" t="str">
        <f aca="false">IFERROR(INDEX(Reference_Lists!$C$36:$C$50,MATCH(PROPER(TRIM(Raw_Data!D103)),Reference_Lists!$B$36:$B$50,0)),"UNMATCHED")</f>
        <v>Nuseirat</v>
      </c>
      <c r="E103" s="31" t="str">
        <f aca="false">IF(Raw_Data!E103="","",Raw_Data!E103)</f>
        <v>Food Security</v>
      </c>
      <c r="F103" s="31" t="str">
        <f aca="false">IF(Raw_Data!F103="","",Raw_Data!F103)</f>
        <v>Suggestion</v>
      </c>
      <c r="G103" s="32" t="str">
        <f aca="false">IF(Raw_Data!G103="","",Raw_Data!G103)</f>
        <v/>
      </c>
      <c r="H103" s="32" t="str">
        <f aca="false">IFERROR(INDEX(Reference_Lists!$C$51:$C$57,MATCH(PROPER(TRIM(Raw_Data!H103)),Reference_Lists!$B$51:$B$57,0)),"UNMATCHED")</f>
        <v>Male</v>
      </c>
      <c r="I103" s="32" t="str">
        <f aca="false">IF(Raw_Data!I103="","",Raw_Data!I103)</f>
        <v>18-29</v>
      </c>
      <c r="J103" s="32" t="str">
        <f aca="false">IFERROR(INDEX(Reference_Lists!$C$58:$C$65,MATCH(PROPER(TRIM(Raw_Data!J103)),Reference_Lists!$B$58:$B$65,0)),"UNMATCHED")</f>
        <v>Referred</v>
      </c>
      <c r="K103" s="30" t="str">
        <f aca="false">IF(Raw_Data!K103="","",IF(ISTEXT(Raw_Data!K103),IFERROR(DATE(VALUE(RIGHT(TRIM(Raw_Data!K103),4)),VALUE(MID(TRIM(Raw_Data!K103),4,2)),VALUE(LEFT(TRIM(Raw_Data!K103),2))),"CHECK"),Raw_Data!K103))</f>
        <v/>
      </c>
      <c r="L103" s="33" t="str">
        <f aca="false">IF(Raw_Data!L103="","",Raw_Data!L103)</f>
        <v>Asking how the beneficiary list for the next round is prepared.</v>
      </c>
      <c r="M103" s="34" t="str">
        <f aca="false">IF(OR(B103="",K103=""),"",IFERROR(K103-B103,"CHECK"))</f>
        <v/>
      </c>
      <c r="N103" s="34" t="str">
        <f aca="false">IFERROR(INDEX(Reference_Lists!$H$13:$H$14,MATCH(G103,Reference_Lists!$G$13:$G$14,0)),"UNMATCHED")</f>
        <v>UNMATCHED</v>
      </c>
      <c r="O103" s="32" t="str">
        <f aca="false">IF(AND(J103="Closed",ISNUMBER(M103),ISNUMBER(N103),M103&gt;=0),M103&lt;=N103,"NOT ASSESSED")</f>
        <v>NOT ASSESSED</v>
      </c>
      <c r="P103" s="36" t="str">
        <f aca="false">Raw_Data!A103</f>
        <v>CFM-2026-0211</v>
      </c>
      <c r="Q103" s="37" t="str">
        <f aca="false">IFERROR(IF(OR($A103="",$P103=""),"MISSING ID",IF(EXACT($A103,$P103),"ALIGNED","MISMATCH")),"CHECK")</f>
        <v>ALIGNED</v>
      </c>
    </row>
    <row r="104" customFormat="false" ht="19.5" hidden="false" customHeight="true" outlineLevel="0" collapsed="false">
      <c r="A104" s="29" t="s">
        <v>214</v>
      </c>
      <c r="B104" s="30" t="n">
        <f aca="false">IF(Raw_Data!B104="","",IF(ISTEXT(Raw_Data!B104),IFERROR(DATE(VALUE(RIGHT(TRIM(Raw_Data!B104),4)),VALUE(MID(TRIM(Raw_Data!B104),4,2)),VALUE(LEFT(TRIM(Raw_Data!B104),2))),"CHECK"),Raw_Data!B104))</f>
        <v>46106</v>
      </c>
      <c r="C104" s="31" t="str">
        <f aca="false">IFERROR(INDEX(Reference_Lists!$C$23:$C$35,MATCH(PROPER(TRIM(Raw_Data!C104)),Reference_Lists!$B$23:$B$35,0)),"UNMATCHED")</f>
        <v>Phone Hotline</v>
      </c>
      <c r="D104" s="31" t="str">
        <f aca="false">IFERROR(INDEX(Reference_Lists!$C$36:$C$50,MATCH(PROPER(TRIM(Raw_Data!D104)),Reference_Lists!$B$36:$B$50,0)),"UNMATCHED")</f>
        <v>Nuseirat</v>
      </c>
      <c r="E104" s="31" t="str">
        <f aca="false">IF(Raw_Data!E104="","",Raw_Data!E104)</f>
        <v>Nutrition</v>
      </c>
      <c r="F104" s="31" t="str">
        <f aca="false">IF(Raw_Data!F104="","",Raw_Data!F104)</f>
        <v>Appreciation</v>
      </c>
      <c r="G104" s="32" t="str">
        <f aca="false">IF(Raw_Data!G104="","",Raw_Data!G104)</f>
        <v/>
      </c>
      <c r="H104" s="32" t="str">
        <f aca="false">IFERROR(INDEX(Reference_Lists!$C$51:$C$57,MATCH(PROPER(TRIM(Raw_Data!H104)),Reference_Lists!$B$51:$B$57,0)),"UNMATCHED")</f>
        <v>Female</v>
      </c>
      <c r="I104" s="32" t="str">
        <f aca="false">IF(Raw_Data!I104="","",Raw_Data!I104)</f>
        <v>30-44</v>
      </c>
      <c r="J104" s="32" t="str">
        <f aca="false">IFERROR(INDEX(Reference_Lists!$C$58:$C$65,MATCH(PROPER(TRIM(Raw_Data!J104)),Reference_Lists!$B$58:$B$65,0)),"UNMATCHED")</f>
        <v>Open</v>
      </c>
      <c r="K104" s="30" t="str">
        <f aca="false">IF(Raw_Data!K104="","",IF(ISTEXT(Raw_Data!K104),IFERROR(DATE(VALUE(RIGHT(TRIM(Raw_Data!K104),4)),VALUE(MID(TRIM(Raw_Data!K104),4,2)),VALUE(LEFT(TRIM(Raw_Data!K104),2))),"CHECK"),Raw_Data!K104))</f>
        <v/>
      </c>
      <c r="L104" s="33" t="str">
        <f aca="false">IF(Raw_Data!L104="","",Raw_Data!L104)</f>
        <v>Supplement was received but the guidance sheet was in English only.</v>
      </c>
      <c r="M104" s="34" t="str">
        <f aca="false">IF(OR(B104="",K104=""),"",IFERROR(K104-B104,"CHECK"))</f>
        <v/>
      </c>
      <c r="N104" s="34" t="str">
        <f aca="false">IFERROR(INDEX(Reference_Lists!$H$13:$H$14,MATCH(G104,Reference_Lists!$G$13:$G$14,0)),"UNMATCHED")</f>
        <v>UNMATCHED</v>
      </c>
      <c r="O104" s="32" t="str">
        <f aca="false">IF(AND(J104="Closed",ISNUMBER(M104),ISNUMBER(N104),M104&gt;=0),M104&lt;=N104,"NOT ASSESSED")</f>
        <v>NOT ASSESSED</v>
      </c>
      <c r="P104" s="36" t="str">
        <f aca="false">Raw_Data!A104</f>
        <v>CFM-2026-0080</v>
      </c>
      <c r="Q104" s="37" t="str">
        <f aca="false">IFERROR(IF(OR($A104="",$P104=""),"MISSING ID",IF(EXACT($A104,$P104),"ALIGNED","MISMATCH")),"CHECK")</f>
        <v>ALIGNED</v>
      </c>
    </row>
    <row r="105" customFormat="false" ht="19.5" hidden="false" customHeight="true" outlineLevel="0" collapsed="false">
      <c r="A105" s="29" t="s">
        <v>216</v>
      </c>
      <c r="B105" s="30" t="n">
        <f aca="false">IF(Raw_Data!B105="","",IF(ISTEXT(Raw_Data!B105),IFERROR(DATE(VALUE(RIGHT(TRIM(Raw_Data!B105),4)),VALUE(MID(TRIM(Raw_Data!B105),4,2)),VALUE(LEFT(TRIM(Raw_Data!B105),2))),"CHECK"),Raw_Data!B105))</f>
        <v>46174</v>
      </c>
      <c r="C105" s="31" t="str">
        <f aca="false">IFERROR(INDEX(Reference_Lists!$C$23:$C$35,MATCH(PROPER(TRIM(Raw_Data!C105)),Reference_Lists!$B$23:$B$35,0)),"UNMATCHED")</f>
        <v>In-Person at Distribution</v>
      </c>
      <c r="D105" s="31" t="str">
        <f aca="false">IFERROR(INDEX(Reference_Lists!$C$36:$C$50,MATCH(PROPER(TRIM(Raw_Data!D105)),Reference_Lists!$B$36:$B$50,0)),"UNMATCHED")</f>
        <v>Khan Yunis</v>
      </c>
      <c r="E105" s="31" t="str">
        <f aca="false">IF(Raw_Data!E105="","",Raw_Data!E105)</f>
        <v>Shelter</v>
      </c>
      <c r="F105" s="31" t="str">
        <f aca="false">IF(Raw_Data!F105="","",Raw_Data!F105)</f>
        <v>Complaint</v>
      </c>
      <c r="G105" s="32" t="str">
        <f aca="false">IF(Raw_Data!G105="","",Raw_Data!G105)</f>
        <v>Non-Sensitive</v>
      </c>
      <c r="H105" s="32" t="str">
        <f aca="false">IFERROR(INDEX(Reference_Lists!$C$51:$C$57,MATCH(PROPER(TRIM(Raw_Data!H105)),Reference_Lists!$B$51:$B$57,0)),"UNMATCHED")</f>
        <v>Male</v>
      </c>
      <c r="I105" s="32" t="str">
        <f aca="false">IF(Raw_Data!I105="","",Raw_Data!I105)</f>
        <v>30-44</v>
      </c>
      <c r="J105" s="32" t="str">
        <f aca="false">IFERROR(INDEX(Reference_Lists!$C$58:$C$65,MATCH(PROPER(TRIM(Raw_Data!J105)),Reference_Lists!$B$58:$B$65,0)),"UNMATCHED")</f>
        <v>Closed</v>
      </c>
      <c r="K105" s="30" t="n">
        <f aca="false">IF(Raw_Data!K105="","",IF(ISTEXT(Raw_Data!K105),IFERROR(DATE(VALUE(RIGHT(TRIM(Raw_Data!K105),4)),VALUE(MID(TRIM(Raw_Data!K105),4,2)),VALUE(LEFT(TRIM(Raw_Data!K105),2))),"CHECK"),Raw_Data!K105))</f>
        <v>46193</v>
      </c>
      <c r="L105" s="33" t="str">
        <f aca="false">IF(Raw_Data!L105="","",Raw_Data!L105)</f>
        <v>Shelter kit delivered on time and the team explained the use clearly.</v>
      </c>
      <c r="M105" s="34" t="n">
        <f aca="false">IF(OR(B105="",K105=""),"",IFERROR(K105-B105,"CHECK"))</f>
        <v>19</v>
      </c>
      <c r="N105" s="34" t="n">
        <f aca="false">IFERROR(INDEX(Reference_Lists!$H$13:$H$14,MATCH(G105,Reference_Lists!$G$13:$G$14,0)),"UNMATCHED")</f>
        <v>15</v>
      </c>
      <c r="O105" s="35" t="b">
        <f aca="false">IF(AND(J105="Closed",ISNUMBER(M105),ISNUMBER(N105),M105&gt;=0),M105&lt;=N105,"NOT ASSESSED")</f>
        <v>0</v>
      </c>
      <c r="P105" s="36" t="str">
        <f aca="false">Raw_Data!A105</f>
        <v>CFM-2026-0201</v>
      </c>
      <c r="Q105" s="37" t="str">
        <f aca="false">IFERROR(IF(OR($A105="",$P105=""),"MISSING ID",IF(EXACT($A105,$P105),"ALIGNED","MISMATCH")),"CHECK")</f>
        <v>ALIGNED</v>
      </c>
    </row>
    <row r="106" customFormat="false" ht="19.5" hidden="false" customHeight="true" outlineLevel="0" collapsed="false">
      <c r="A106" s="29" t="s">
        <v>217</v>
      </c>
      <c r="B106" s="30" t="n">
        <f aca="false">IF(Raw_Data!B106="","",IF(ISTEXT(Raw_Data!B106),IFERROR(DATE(VALUE(RIGHT(TRIM(Raw_Data!B106),4)),VALUE(MID(TRIM(Raw_Data!B106),4,2)),VALUE(LEFT(TRIM(Raw_Data!B106),2))),"CHECK"),Raw_Data!B106))</f>
        <v>46195</v>
      </c>
      <c r="C106" s="31" t="str">
        <f aca="false">IFERROR(INDEX(Reference_Lists!$C$23:$C$35,MATCH(PROPER(TRIM(Raw_Data!C106)),Reference_Lists!$B$23:$B$35,0)),"UNMATCHED")</f>
        <v>Suggestion Box</v>
      </c>
      <c r="D106" s="31" t="str">
        <f aca="false">IFERROR(INDEX(Reference_Lists!$C$36:$C$50,MATCH(PROPER(TRIM(Raw_Data!D106)),Reference_Lists!$B$36:$B$50,0)),"UNMATCHED")</f>
        <v>Gaza City</v>
      </c>
      <c r="E106" s="31" t="str">
        <f aca="false">IF(Raw_Data!E106="","",Raw_Data!E106)</f>
        <v>Nutrition</v>
      </c>
      <c r="F106" s="31" t="str">
        <f aca="false">IF(Raw_Data!F106="","",Raw_Data!F106)</f>
        <v>Request for Information</v>
      </c>
      <c r="G106" s="32" t="str">
        <f aca="false">IF(Raw_Data!G106="","",Raw_Data!G106)</f>
        <v>Non-Sensitive</v>
      </c>
      <c r="H106" s="32" t="str">
        <f aca="false">IFERROR(INDEX(Reference_Lists!$C$51:$C$57,MATCH(PROPER(TRIM(Raw_Data!H106)),Reference_Lists!$B$51:$B$57,0)),"UNMATCHED")</f>
        <v>Female</v>
      </c>
      <c r="I106" s="32" t="str">
        <f aca="false">IF(Raw_Data!I106="","",Raw_Data!I106)</f>
        <v>45-59</v>
      </c>
      <c r="J106" s="32" t="str">
        <f aca="false">IFERROR(INDEX(Reference_Lists!$C$58:$C$65,MATCH(PROPER(TRIM(Raw_Data!J106)),Reference_Lists!$B$58:$B$65,0)),"UNMATCHED")</f>
        <v>Closed</v>
      </c>
      <c r="K106" s="30" t="str">
        <f aca="false">IF(Raw_Data!K106="","",IF(ISTEXT(Raw_Data!K106),IFERROR(DATE(VALUE(RIGHT(TRIM(Raw_Data!K106),4)),VALUE(MID(TRIM(Raw_Data!K106),4,2)),VALUE(LEFT(TRIM(Raw_Data!K106),2))),"CHECK"),Raw_Data!K106))</f>
        <v/>
      </c>
      <c r="L106" s="33" t="str">
        <f aca="false">IF(Raw_Data!L106="","",Raw_Data!L106)</f>
        <v>Requesting a screening session closer to the northern shelter.</v>
      </c>
      <c r="M106" s="34" t="str">
        <f aca="false">IF(OR(B106="",K106=""),"",IFERROR(K106-B106,"CHECK"))</f>
        <v/>
      </c>
      <c r="N106" s="34" t="n">
        <f aca="false">IFERROR(INDEX(Reference_Lists!$H$13:$H$14,MATCH(G106,Reference_Lists!$G$13:$G$14,0)),"UNMATCHED")</f>
        <v>15</v>
      </c>
      <c r="O106" s="32" t="str">
        <f aca="false">IF(AND(J106="Closed",ISNUMBER(M106),ISNUMBER(N106),M106&gt;=0),M106&lt;=N106,"NOT ASSESSED")</f>
        <v>NOT ASSESSED</v>
      </c>
      <c r="P106" s="36" t="str">
        <f aca="false">Raw_Data!A106</f>
        <v>CFM-2026-0019</v>
      </c>
      <c r="Q106" s="37" t="str">
        <f aca="false">IFERROR(IF(OR($A106="",$P106=""),"MISSING ID",IF(EXACT($A106,$P106),"ALIGNED","MISMATCH")),"CHECK")</f>
        <v>ALIGNED</v>
      </c>
    </row>
    <row r="107" customFormat="false" ht="19.5" hidden="false" customHeight="true" outlineLevel="0" collapsed="false">
      <c r="A107" s="29" t="s">
        <v>218</v>
      </c>
      <c r="B107" s="30" t="n">
        <f aca="false">IF(Raw_Data!B107="","",IF(ISTEXT(Raw_Data!B107),IFERROR(DATE(VALUE(RIGHT(TRIM(Raw_Data!B107),4)),VALUE(MID(TRIM(Raw_Data!B107),4,2)),VALUE(LEFT(TRIM(Raw_Data!B107),2))),"CHECK"),Raw_Data!B107))</f>
        <v>46044</v>
      </c>
      <c r="C107" s="31" t="str">
        <f aca="false">IFERROR(INDEX(Reference_Lists!$C$23:$C$35,MATCH(PROPER(TRIM(Raw_Data!C107)),Reference_Lists!$B$23:$B$35,0)),"UNMATCHED")</f>
        <v>Phone Hotline</v>
      </c>
      <c r="D107" s="31" t="str">
        <f aca="false">IFERROR(INDEX(Reference_Lists!$C$36:$C$50,MATCH(PROPER(TRIM(Raw_Data!D107)),Reference_Lists!$B$36:$B$50,0)),"UNMATCHED")</f>
        <v>Gaza City</v>
      </c>
      <c r="E107" s="31" t="str">
        <f aca="false">IF(Raw_Data!E107="","",Raw_Data!E107)</f>
        <v/>
      </c>
      <c r="F107" s="31" t="str">
        <f aca="false">IF(Raw_Data!F107="","",Raw_Data!F107)</f>
        <v>Request for Information</v>
      </c>
      <c r="G107" s="32" t="str">
        <f aca="false">IF(Raw_Data!G107="","",Raw_Data!G107)</f>
        <v>Non-Sensitive</v>
      </c>
      <c r="H107" s="32" t="str">
        <f aca="false">IFERROR(INDEX(Reference_Lists!$C$51:$C$57,MATCH(PROPER(TRIM(Raw_Data!H107)),Reference_Lists!$B$51:$B$57,0)),"UNMATCHED")</f>
        <v>Female</v>
      </c>
      <c r="I107" s="32" t="str">
        <f aca="false">IF(Raw_Data!I107="","",Raw_Data!I107)</f>
        <v>60+</v>
      </c>
      <c r="J107" s="32" t="str">
        <f aca="false">IFERROR(INDEX(Reference_Lists!$C$58:$C$65,MATCH(PROPER(TRIM(Raw_Data!J107)),Reference_Lists!$B$58:$B$65,0)),"UNMATCHED")</f>
        <v>Closed</v>
      </c>
      <c r="K107" s="30" t="n">
        <f aca="false">IF(Raw_Data!K107="","",IF(ISTEXT(Raw_Data!K107),IFERROR(DATE(VALUE(RIGHT(TRIM(Raw_Data!K107),4)),VALUE(MID(TRIM(Raw_Data!K107),4,2)),VALUE(LEFT(TRIM(Raw_Data!K107),2))),"CHECK"),Raw_Data!K107))</f>
        <v>46065</v>
      </c>
      <c r="L107" s="33" t="str">
        <f aca="false">IF(Raw_Data!L107="","",Raw_Data!L107)</f>
        <v>Latrine at the site block needs cleaning and lighting at night.</v>
      </c>
      <c r="M107" s="34" t="n">
        <f aca="false">IF(OR(B107="",K107=""),"",IFERROR(K107-B107,"CHECK"))</f>
        <v>21</v>
      </c>
      <c r="N107" s="34" t="n">
        <f aca="false">IFERROR(INDEX(Reference_Lists!$H$13:$H$14,MATCH(G107,Reference_Lists!$G$13:$G$14,0)),"UNMATCHED")</f>
        <v>15</v>
      </c>
      <c r="O107" s="35" t="b">
        <f aca="false">IF(AND(J107="Closed",ISNUMBER(M107),ISNUMBER(N107),M107&gt;=0),M107&lt;=N107,"NOT ASSESSED")</f>
        <v>0</v>
      </c>
      <c r="P107" s="36" t="str">
        <f aca="false">Raw_Data!A107</f>
        <v>CFM-2026-0281</v>
      </c>
      <c r="Q107" s="37" t="str">
        <f aca="false">IFERROR(IF(OR($A107="",$P107=""),"MISSING ID",IF(EXACT($A107,$P107),"ALIGNED","MISMATCH")),"CHECK")</f>
        <v>ALIGNED</v>
      </c>
    </row>
    <row r="108" customFormat="false" ht="19.5" hidden="false" customHeight="true" outlineLevel="0" collapsed="false">
      <c r="A108" s="29" t="s">
        <v>219</v>
      </c>
      <c r="B108" s="30" t="n">
        <f aca="false">IF(Raw_Data!B108="","",IF(ISTEXT(Raw_Data!B108),IFERROR(DATE(VALUE(RIGHT(TRIM(Raw_Data!B108),4)),VALUE(MID(TRIM(Raw_Data!B108),4,2)),VALUE(LEFT(TRIM(Raw_Data!B108),2))),"CHECK"),Raw_Data!B108))</f>
        <v>46091</v>
      </c>
      <c r="C108" s="31" t="str">
        <f aca="false">IFERROR(INDEX(Reference_Lists!$C$23:$C$35,MATCH(PROPER(TRIM(Raw_Data!C108)),Reference_Lists!$B$23:$B$35,0)),"UNMATCHED")</f>
        <v>Community Focal Point</v>
      </c>
      <c r="D108" s="31" t="str">
        <f aca="false">IFERROR(INDEX(Reference_Lists!$C$36:$C$50,MATCH(PROPER(TRIM(Raw_Data!D108)),Reference_Lists!$B$36:$B$50,0)),"UNMATCHED")</f>
        <v>Nuseirat</v>
      </c>
      <c r="E108" s="31" t="str">
        <f aca="false">IF(Raw_Data!E108="","",Raw_Data!E108)</f>
        <v>Food Security</v>
      </c>
      <c r="F108" s="31" t="str">
        <f aca="false">IF(Raw_Data!F108="","",Raw_Data!F108)</f>
        <v>Suggestion</v>
      </c>
      <c r="G108" s="32" t="str">
        <f aca="false">IF(Raw_Data!G108="","",Raw_Data!G108)</f>
        <v>Non-Sensitive</v>
      </c>
      <c r="H108" s="32" t="str">
        <f aca="false">IFERROR(INDEX(Reference_Lists!$C$51:$C$57,MATCH(PROPER(TRIM(Raw_Data!H108)),Reference_Lists!$B$51:$B$57,0)),"UNMATCHED")</f>
        <v>Female</v>
      </c>
      <c r="I108" s="32" t="str">
        <f aca="false">IF(Raw_Data!I108="","",Raw_Data!I108)</f>
        <v>Under 18</v>
      </c>
      <c r="J108" s="32" t="str">
        <f aca="false">IFERROR(INDEX(Reference_Lists!$C$58:$C$65,MATCH(PROPER(TRIM(Raw_Data!J108)),Reference_Lists!$B$58:$B$65,0)),"UNMATCHED")</f>
        <v>Closed</v>
      </c>
      <c r="K108" s="30" t="n">
        <f aca="false">IF(Raw_Data!K108="","",IF(ISTEXT(Raw_Data!K108),IFERROR(DATE(VALUE(RIGHT(TRIM(Raw_Data!K108),4)),VALUE(MID(TRIM(Raw_Data!K108),4,2)),VALUE(LEFT(TRIM(Raw_Data!K108),2))),"CHECK"),Raw_Data!K108))</f>
        <v>46098</v>
      </c>
      <c r="L108" s="33" t="str">
        <f aca="false">IF(Raw_Data!L108="","",Raw_Data!L108)</f>
        <v>Distribution point is far and transport cost is high for our family.</v>
      </c>
      <c r="M108" s="34" t="n">
        <f aca="false">IF(OR(B108="",K108=""),"",IFERROR(K108-B108,"CHECK"))</f>
        <v>7</v>
      </c>
      <c r="N108" s="34" t="n">
        <f aca="false">IFERROR(INDEX(Reference_Lists!$H$13:$H$14,MATCH(G108,Reference_Lists!$G$13:$G$14,0)),"UNMATCHED")</f>
        <v>15</v>
      </c>
      <c r="O108" s="35" t="b">
        <f aca="false">IF(AND(J108="Closed",ISNUMBER(M108),ISNUMBER(N108),M108&gt;=0),M108&lt;=N108,"NOT ASSESSED")</f>
        <v>1</v>
      </c>
      <c r="P108" s="36" t="str">
        <f aca="false">Raw_Data!A108</f>
        <v>CFM-2026-0344</v>
      </c>
      <c r="Q108" s="37" t="str">
        <f aca="false">IFERROR(IF(OR($A108="",$P108=""),"MISSING ID",IF(EXACT($A108,$P108),"ALIGNED","MISMATCH")),"CHECK")</f>
        <v>ALIGNED</v>
      </c>
    </row>
    <row r="109" customFormat="false" ht="19.5" hidden="false" customHeight="true" outlineLevel="0" collapsed="false">
      <c r="A109" s="29" t="s">
        <v>220</v>
      </c>
      <c r="B109" s="30" t="n">
        <f aca="false">IF(Raw_Data!B109="","",IF(ISTEXT(Raw_Data!B109),IFERROR(DATE(VALUE(RIGHT(TRIM(Raw_Data!B109),4)),VALUE(MID(TRIM(Raw_Data!B109),4,2)),VALUE(LEFT(TRIM(Raw_Data!B109),2))),"CHECK"),Raw_Data!B109))</f>
        <v>46048</v>
      </c>
      <c r="C109" s="31" t="str">
        <f aca="false">IFERROR(INDEX(Reference_Lists!$C$23:$C$35,MATCH(PROPER(TRIM(Raw_Data!C109)),Reference_Lists!$B$23:$B$35,0)),"UNMATCHED")</f>
        <v>Suggestion Box</v>
      </c>
      <c r="D109" s="31" t="str">
        <f aca="false">IFERROR(INDEX(Reference_Lists!$C$36:$C$50,MATCH(PROPER(TRIM(Raw_Data!D109)),Reference_Lists!$B$36:$B$50,0)),"UNMATCHED")</f>
        <v>Nuseirat</v>
      </c>
      <c r="E109" s="31" t="str">
        <f aca="false">IF(Raw_Data!E109="","",Raw_Data!E109)</f>
        <v>Health</v>
      </c>
      <c r="F109" s="31" t="str">
        <f aca="false">IF(Raw_Data!F109="","",Raw_Data!F109)</f>
        <v>Appreciation</v>
      </c>
      <c r="G109" s="32" t="str">
        <f aca="false">IF(Raw_Data!G109="","",Raw_Data!G109)</f>
        <v>Non-Sensitive</v>
      </c>
      <c r="H109" s="32" t="str">
        <f aca="false">IFERROR(INDEX(Reference_Lists!$C$51:$C$57,MATCH(PROPER(TRIM(Raw_Data!H109)),Reference_Lists!$B$51:$B$57,0)),"UNMATCHED")</f>
        <v>Female</v>
      </c>
      <c r="I109" s="32" t="str">
        <f aca="false">IF(Raw_Data!I109="","",Raw_Data!I109)</f>
        <v>18-29</v>
      </c>
      <c r="J109" s="32" t="str">
        <f aca="false">IFERROR(INDEX(Reference_Lists!$C$58:$C$65,MATCH(PROPER(TRIM(Raw_Data!J109)),Reference_Lists!$B$58:$B$65,0)),"UNMATCHED")</f>
        <v>Open</v>
      </c>
      <c r="K109" s="30" t="str">
        <f aca="false">IF(Raw_Data!K109="","",IF(ISTEXT(Raw_Data!K109),IFERROR(DATE(VALUE(RIGHT(TRIM(Raw_Data!K109),4)),VALUE(MID(TRIM(Raw_Data!K109),4,2)),VALUE(LEFT(TRIM(Raw_Data!K109),2))),"CHECK"),Raw_Data!K109))</f>
        <v/>
      </c>
      <c r="L109" s="33" t="str">
        <f aca="false">IF(Raw_Data!L109="","",Raw_Data!L109)</f>
        <v>Requesting a referral pathway for a family member with limited mobility.</v>
      </c>
      <c r="M109" s="34" t="str">
        <f aca="false">IF(OR(B109="",K109=""),"",IFERROR(K109-B109,"CHECK"))</f>
        <v/>
      </c>
      <c r="N109" s="34" t="n">
        <f aca="false">IFERROR(INDEX(Reference_Lists!$H$13:$H$14,MATCH(G109,Reference_Lists!$G$13:$G$14,0)),"UNMATCHED")</f>
        <v>15</v>
      </c>
      <c r="O109" s="32" t="str">
        <f aca="false">IF(AND(J109="Closed",ISNUMBER(M109),ISNUMBER(N109),M109&gt;=0),M109&lt;=N109,"NOT ASSESSED")</f>
        <v>NOT ASSESSED</v>
      </c>
      <c r="P109" s="36" t="str">
        <f aca="false">Raw_Data!A109</f>
        <v>CFM-2026-0006</v>
      </c>
      <c r="Q109" s="37" t="str">
        <f aca="false">IFERROR(IF(OR($A109="",$P109=""),"MISSING ID",IF(EXACT($A109,$P109),"ALIGNED","MISMATCH")),"CHECK")</f>
        <v>ALIGNED</v>
      </c>
    </row>
    <row r="110" customFormat="false" ht="19.5" hidden="false" customHeight="true" outlineLevel="0" collapsed="false">
      <c r="A110" s="29" t="s">
        <v>221</v>
      </c>
      <c r="B110" s="30" t="n">
        <f aca="false">IF(Raw_Data!B110="","",IF(ISTEXT(Raw_Data!B110),IFERROR(DATE(VALUE(RIGHT(TRIM(Raw_Data!B110),4)),VALUE(MID(TRIM(Raw_Data!B110),4,2)),VALUE(LEFT(TRIM(Raw_Data!B110),2))),"CHECK"),Raw_Data!B110))</f>
        <v>46134</v>
      </c>
      <c r="C110" s="31" t="str">
        <f aca="false">IFERROR(INDEX(Reference_Lists!$C$23:$C$35,MATCH(PROPER(TRIM(Raw_Data!C110)),Reference_Lists!$B$23:$B$35,0)),"UNMATCHED")</f>
        <v>Community Focal Point</v>
      </c>
      <c r="D110" s="31" t="str">
        <f aca="false">IFERROR(INDEX(Reference_Lists!$C$36:$C$50,MATCH(PROPER(TRIM(Raw_Data!D110)),Reference_Lists!$B$36:$B$50,0)),"UNMATCHED")</f>
        <v>Nuseirat</v>
      </c>
      <c r="E110" s="31" t="str">
        <f aca="false">IF(Raw_Data!E110="","",Raw_Data!E110)</f>
        <v>Health</v>
      </c>
      <c r="F110" s="31" t="str">
        <f aca="false">IF(Raw_Data!F110="","",Raw_Data!F110)</f>
        <v>Complaint</v>
      </c>
      <c r="G110" s="32" t="str">
        <f aca="false">IF(Raw_Data!G110="","",Raw_Data!G110)</f>
        <v>Non-Sensitive</v>
      </c>
      <c r="H110" s="32" t="str">
        <f aca="false">IFERROR(INDEX(Reference_Lists!$C$51:$C$57,MATCH(PROPER(TRIM(Raw_Data!H110)),Reference_Lists!$B$51:$B$57,0)),"UNMATCHED")</f>
        <v>Female</v>
      </c>
      <c r="I110" s="32" t="str">
        <f aca="false">IF(Raw_Data!I110="","",Raw_Data!I110)</f>
        <v>18-29</v>
      </c>
      <c r="J110" s="32" t="str">
        <f aca="false">IFERROR(INDEX(Reference_Lists!$C$58:$C$65,MATCH(PROPER(TRIM(Raw_Data!J110)),Reference_Lists!$B$58:$B$65,0)),"UNMATCHED")</f>
        <v>In Progress</v>
      </c>
      <c r="K110" s="30" t="str">
        <f aca="false">IF(Raw_Data!K110="","",IF(ISTEXT(Raw_Data!K110),IFERROR(DATE(VALUE(RIGHT(TRIM(Raw_Data!K110),4)),VALUE(MID(TRIM(Raw_Data!K110),4,2)),VALUE(LEFT(TRIM(Raw_Data!K110),2))),"CHECK"),Raw_Data!K110))</f>
        <v/>
      </c>
      <c r="L110" s="33" t="str">
        <f aca="false">IF(Raw_Data!L110="","",Raw_Data!L110)</f>
        <v>Clinic opening hours are not clear to the community.</v>
      </c>
      <c r="M110" s="34" t="str">
        <f aca="false">IF(OR(B110="",K110=""),"",IFERROR(K110-B110,"CHECK"))</f>
        <v/>
      </c>
      <c r="N110" s="34" t="n">
        <f aca="false">IFERROR(INDEX(Reference_Lists!$H$13:$H$14,MATCH(G110,Reference_Lists!$G$13:$G$14,0)),"UNMATCHED")</f>
        <v>15</v>
      </c>
      <c r="O110" s="32" t="str">
        <f aca="false">IF(AND(J110="Closed",ISNUMBER(M110),ISNUMBER(N110),M110&gt;=0),M110&lt;=N110,"NOT ASSESSED")</f>
        <v>NOT ASSESSED</v>
      </c>
      <c r="P110" s="36" t="str">
        <f aca="false">Raw_Data!A110</f>
        <v>CFM-2026-0219</v>
      </c>
      <c r="Q110" s="37" t="str">
        <f aca="false">IFERROR(IF(OR($A110="",$P110=""),"MISSING ID",IF(EXACT($A110,$P110),"ALIGNED","MISMATCH")),"CHECK")</f>
        <v>ALIGNED</v>
      </c>
    </row>
    <row r="111" customFormat="false" ht="19.5" hidden="false" customHeight="true" outlineLevel="0" collapsed="false">
      <c r="A111" s="29" t="s">
        <v>222</v>
      </c>
      <c r="B111" s="30" t="n">
        <f aca="false">IF(Raw_Data!B111="","",IF(ISTEXT(Raw_Data!B111),IFERROR(DATE(VALUE(RIGHT(TRIM(Raw_Data!B111),4)),VALUE(MID(TRIM(Raw_Data!B111),4,2)),VALUE(LEFT(TRIM(Raw_Data!B111),2))),"CHECK"),Raw_Data!B111))</f>
        <v>46176</v>
      </c>
      <c r="C111" s="31" t="str">
        <f aca="false">IFERROR(INDEX(Reference_Lists!$C$23:$C$35,MATCH(PROPER(TRIM(Raw_Data!C111)),Reference_Lists!$B$23:$B$35,0)),"UNMATCHED")</f>
        <v>In-Person at Distribution</v>
      </c>
      <c r="D111" s="31" t="str">
        <f aca="false">IFERROR(INDEX(Reference_Lists!$C$36:$C$50,MATCH(PROPER(TRIM(Raw_Data!D111)),Reference_Lists!$B$36:$B$50,0)),"UNMATCHED")</f>
        <v>Deir al-Balah</v>
      </c>
      <c r="E111" s="31" t="str">
        <f aca="false">IF(Raw_Data!E111="","",Raw_Data!E111)</f>
        <v>Health</v>
      </c>
      <c r="F111" s="31" t="str">
        <f aca="false">IF(Raw_Data!F111="","",Raw_Data!F111)</f>
        <v>Suggestion</v>
      </c>
      <c r="G111" s="32" t="str">
        <f aca="false">IF(Raw_Data!G111="","",Raw_Data!G111)</f>
        <v>Non-Sensitive</v>
      </c>
      <c r="H111" s="32" t="str">
        <f aca="false">IFERROR(INDEX(Reference_Lists!$C$51:$C$57,MATCH(PROPER(TRIM(Raw_Data!H111)),Reference_Lists!$B$51:$B$57,0)),"UNMATCHED")</f>
        <v>Male</v>
      </c>
      <c r="I111" s="32" t="str">
        <f aca="false">IF(Raw_Data!I111="","",Raw_Data!I111)</f>
        <v>18-29</v>
      </c>
      <c r="J111" s="32" t="str">
        <f aca="false">IFERROR(INDEX(Reference_Lists!$C$58:$C$65,MATCH(PROPER(TRIM(Raw_Data!J111)),Reference_Lists!$B$58:$B$65,0)),"UNMATCHED")</f>
        <v>Closed</v>
      </c>
      <c r="K111" s="30" t="n">
        <f aca="false">IF(Raw_Data!K111="","",IF(ISTEXT(Raw_Data!K111),IFERROR(DATE(VALUE(RIGHT(TRIM(Raw_Data!K111),4)),VALUE(MID(TRIM(Raw_Data!K111),4,2)),VALUE(LEFT(TRIM(Raw_Data!K111),2))),"CHECK"),Raw_Data!K111))</f>
        <v>46184</v>
      </c>
      <c r="L111" s="33" t="str">
        <f aca="false">IF(Raw_Data!L111="","",Raw_Data!L111)</f>
        <v>Requesting a referral pathway for a family member with limited mobility.</v>
      </c>
      <c r="M111" s="34" t="n">
        <f aca="false">IF(OR(B111="",K111=""),"",IFERROR(K111-B111,"CHECK"))</f>
        <v>8</v>
      </c>
      <c r="N111" s="34" t="n">
        <f aca="false">IFERROR(INDEX(Reference_Lists!$H$13:$H$14,MATCH(G111,Reference_Lists!$G$13:$G$14,0)),"UNMATCHED")</f>
        <v>15</v>
      </c>
      <c r="O111" s="35" t="b">
        <f aca="false">IF(AND(J111="Closed",ISNUMBER(M111),ISNUMBER(N111),M111&gt;=0),M111&lt;=N111,"NOT ASSESSED")</f>
        <v>1</v>
      </c>
      <c r="P111" s="36" t="str">
        <f aca="false">Raw_Data!A111</f>
        <v>CFM-2026-0493</v>
      </c>
      <c r="Q111" s="37" t="str">
        <f aca="false">IFERROR(IF(OR($A111="",$P111=""),"MISSING ID",IF(EXACT($A111,$P111),"ALIGNED","MISMATCH")),"CHECK")</f>
        <v>ALIGNED</v>
      </c>
    </row>
    <row r="112" customFormat="false" ht="19.5" hidden="false" customHeight="true" outlineLevel="0" collapsed="false">
      <c r="A112" s="29" t="s">
        <v>223</v>
      </c>
      <c r="B112" s="30" t="n">
        <f aca="false">IF(Raw_Data!B112="","",IF(ISTEXT(Raw_Data!B112),IFERROR(DATE(VALUE(RIGHT(TRIM(Raw_Data!B112),4)),VALUE(MID(TRIM(Raw_Data!B112),4,2)),VALUE(LEFT(TRIM(Raw_Data!B112),2))),"CHECK"),Raw_Data!B112))</f>
        <v>46098</v>
      </c>
      <c r="C112" s="31" t="str">
        <f aca="false">IFERROR(INDEX(Reference_Lists!$C$23:$C$35,MATCH(PROPER(TRIM(Raw_Data!C112)),Reference_Lists!$B$23:$B$35,0)),"UNMATCHED")</f>
        <v>Suggestion Box</v>
      </c>
      <c r="D112" s="31" t="str">
        <f aca="false">IFERROR(INDEX(Reference_Lists!$C$36:$C$50,MATCH(PROPER(TRIM(Raw_Data!D112)),Reference_Lists!$B$36:$B$50,0)),"UNMATCHED")</f>
        <v>Nuseirat</v>
      </c>
      <c r="E112" s="31" t="str">
        <f aca="false">IF(Raw_Data!E112="","",Raw_Data!E112)</f>
        <v>Shelter</v>
      </c>
      <c r="F112" s="31" t="str">
        <f aca="false">IF(Raw_Data!F112="","",Raw_Data!F112)</f>
        <v>Request for Information</v>
      </c>
      <c r="G112" s="32" t="str">
        <f aca="false">IF(Raw_Data!G112="","",Raw_Data!G112)</f>
        <v>Non-Sensitive</v>
      </c>
      <c r="H112" s="32" t="str">
        <f aca="false">IFERROR(INDEX(Reference_Lists!$C$51:$C$57,MATCH(PROPER(TRIM(Raw_Data!H112)),Reference_Lists!$B$51:$B$57,0)),"UNMATCHED")</f>
        <v>Male</v>
      </c>
      <c r="I112" s="32" t="str">
        <f aca="false">IF(Raw_Data!I112="","",Raw_Data!I112)</f>
        <v>18-29</v>
      </c>
      <c r="J112" s="32" t="str">
        <f aca="false">IFERROR(INDEX(Reference_Lists!$C$58:$C$65,MATCH(PROPER(TRIM(Raw_Data!J112)),Reference_Lists!$B$58:$B$65,0)),"UNMATCHED")</f>
        <v>Closed</v>
      </c>
      <c r="K112" s="30" t="n">
        <f aca="false">IF(Raw_Data!K112="","",IF(ISTEXT(Raw_Data!K112),IFERROR(DATE(VALUE(RIGHT(TRIM(Raw_Data!K112),4)),VALUE(MID(TRIM(Raw_Data!K112),4,2)),VALUE(LEFT(TRIM(Raw_Data!K112),2))),"CHECK"),Raw_Data!K112))</f>
        <v>46110</v>
      </c>
      <c r="L112" s="33" t="str">
        <f aca="false">IF(Raw_Data!L112="","",Raw_Data!L112)</f>
        <v>Shelter kit delivered on time and the team explained the use clearly.</v>
      </c>
      <c r="M112" s="34" t="n">
        <f aca="false">IF(OR(B112="",K112=""),"",IFERROR(K112-B112,"CHECK"))</f>
        <v>12</v>
      </c>
      <c r="N112" s="34" t="n">
        <f aca="false">IFERROR(INDEX(Reference_Lists!$H$13:$H$14,MATCH(G112,Reference_Lists!$G$13:$G$14,0)),"UNMATCHED")</f>
        <v>15</v>
      </c>
      <c r="O112" s="35" t="b">
        <f aca="false">IF(AND(J112="Closed",ISNUMBER(M112),ISNUMBER(N112),M112&gt;=0),M112&lt;=N112,"NOT ASSESSED")</f>
        <v>1</v>
      </c>
      <c r="P112" s="36" t="str">
        <f aca="false">Raw_Data!A112</f>
        <v>CFM-2026-0267</v>
      </c>
      <c r="Q112" s="37" t="str">
        <f aca="false">IFERROR(IF(OR($A112="",$P112=""),"MISSING ID",IF(EXACT($A112,$P112),"ALIGNED","MISMATCH")),"CHECK")</f>
        <v>ALIGNED</v>
      </c>
    </row>
    <row r="113" customFormat="false" ht="19.5" hidden="false" customHeight="true" outlineLevel="0" collapsed="false">
      <c r="A113" s="29" t="s">
        <v>224</v>
      </c>
      <c r="B113" s="30" t="n">
        <f aca="false">IF(Raw_Data!B113="","",IF(ISTEXT(Raw_Data!B113),IFERROR(DATE(VALUE(RIGHT(TRIM(Raw_Data!B113),4)),VALUE(MID(TRIM(Raw_Data!B113),4,2)),VALUE(LEFT(TRIM(Raw_Data!B113),2))),"CHECK"),Raw_Data!B113))</f>
        <v>46030</v>
      </c>
      <c r="C113" s="31" t="str">
        <f aca="false">IFERROR(INDEX(Reference_Lists!$C$23:$C$35,MATCH(PROPER(TRIM(Raw_Data!C113)),Reference_Lists!$B$23:$B$35,0)),"UNMATCHED")</f>
        <v>Community Focal Point</v>
      </c>
      <c r="D113" s="31" t="str">
        <f aca="false">IFERROR(INDEX(Reference_Lists!$C$36:$C$50,MATCH(PROPER(TRIM(Raw_Data!D113)),Reference_Lists!$B$36:$B$50,0)),"UNMATCHED")</f>
        <v>Khan Yunis</v>
      </c>
      <c r="E113" s="31" t="str">
        <f aca="false">IF(Raw_Data!E113="","",Raw_Data!E113)</f>
        <v>Shelter</v>
      </c>
      <c r="F113" s="31" t="str">
        <f aca="false">IF(Raw_Data!F113="","",Raw_Data!F113)</f>
        <v>Request for Information</v>
      </c>
      <c r="G113" s="32" t="str">
        <f aca="false">IF(Raw_Data!G113="","",Raw_Data!G113)</f>
        <v>Non-Sensitive</v>
      </c>
      <c r="H113" s="32" t="str">
        <f aca="false">IFERROR(INDEX(Reference_Lists!$C$51:$C$57,MATCH(PROPER(TRIM(Raw_Data!H113)),Reference_Lists!$B$51:$B$57,0)),"UNMATCHED")</f>
        <v>Male</v>
      </c>
      <c r="I113" s="32" t="str">
        <f aca="false">IF(Raw_Data!I113="","",Raw_Data!I113)</f>
        <v>45-59</v>
      </c>
      <c r="J113" s="32" t="str">
        <f aca="false">IFERROR(INDEX(Reference_Lists!$C$58:$C$65,MATCH(PROPER(TRIM(Raw_Data!J113)),Reference_Lists!$B$58:$B$65,0)),"UNMATCHED")</f>
        <v>Closed</v>
      </c>
      <c r="K113" s="30" t="n">
        <f aca="false">IF(Raw_Data!K113="","",IF(ISTEXT(Raw_Data!K113),IFERROR(DATE(VALUE(RIGHT(TRIM(Raw_Data!K113),4)),VALUE(MID(TRIM(Raw_Data!K113),4,2)),VALUE(LEFT(TRIM(Raw_Data!K113),2))),"CHECK"),Raw_Data!K113))</f>
        <v>46047</v>
      </c>
      <c r="L113" s="33" t="str">
        <f aca="false">IF(Raw_Data!L113="","",Raw_Data!L113)</f>
        <v>Tarpaulin received is torn and does not cover the shelter area.</v>
      </c>
      <c r="M113" s="34" t="n">
        <f aca="false">IF(OR(B113="",K113=""),"",IFERROR(K113-B113,"CHECK"))</f>
        <v>17</v>
      </c>
      <c r="N113" s="34" t="n">
        <f aca="false">IFERROR(INDEX(Reference_Lists!$H$13:$H$14,MATCH(G113,Reference_Lists!$G$13:$G$14,0)),"UNMATCHED")</f>
        <v>15</v>
      </c>
      <c r="O113" s="35" t="b">
        <f aca="false">IF(AND(J113="Closed",ISNUMBER(M113),ISNUMBER(N113),M113&gt;=0),M113&lt;=N113,"NOT ASSESSED")</f>
        <v>0</v>
      </c>
      <c r="P113" s="36" t="str">
        <f aca="false">Raw_Data!A113</f>
        <v>CFM-2026-0069</v>
      </c>
      <c r="Q113" s="37" t="str">
        <f aca="false">IFERROR(IF(OR($A113="",$P113=""),"MISSING ID",IF(EXACT($A113,$P113),"ALIGNED","MISMATCH")),"CHECK")</f>
        <v>ALIGNED</v>
      </c>
    </row>
    <row r="114" customFormat="false" ht="19.5" hidden="false" customHeight="true" outlineLevel="0" collapsed="false">
      <c r="A114" s="29" t="s">
        <v>225</v>
      </c>
      <c r="B114" s="30" t="n">
        <f aca="false">IF(Raw_Data!B114="","",IF(ISTEXT(Raw_Data!B114),IFERROR(DATE(VALUE(RIGHT(TRIM(Raw_Data!B114),4)),VALUE(MID(TRIM(Raw_Data!B114),4,2)),VALUE(LEFT(TRIM(Raw_Data!B114),2))),"CHECK"),Raw_Data!B114))</f>
        <v>46134</v>
      </c>
      <c r="C114" s="31" t="str">
        <f aca="false">IFERROR(INDEX(Reference_Lists!$C$23:$C$35,MATCH(PROPER(TRIM(Raw_Data!C114)),Reference_Lists!$B$23:$B$35,0)),"UNMATCHED")</f>
        <v>Help Desk</v>
      </c>
      <c r="D114" s="31" t="str">
        <f aca="false">IFERROR(INDEX(Reference_Lists!$C$36:$C$50,MATCH(PROPER(TRIM(Raw_Data!D114)),Reference_Lists!$B$36:$B$50,0)),"UNMATCHED")</f>
        <v>Jabalia</v>
      </c>
      <c r="E114" s="31" t="str">
        <f aca="false">IF(Raw_Data!E114="","",Raw_Data!E114)</f>
        <v>Shelter</v>
      </c>
      <c r="F114" s="31" t="str">
        <f aca="false">IF(Raw_Data!F114="","",Raw_Data!F114)</f>
        <v>Complaint</v>
      </c>
      <c r="G114" s="32" t="str">
        <f aca="false">IF(Raw_Data!G114="","",Raw_Data!G114)</f>
        <v>Non-Sensitive</v>
      </c>
      <c r="H114" s="32" t="str">
        <f aca="false">IFERROR(INDEX(Reference_Lists!$C$51:$C$57,MATCH(PROPER(TRIM(Raw_Data!H114)),Reference_Lists!$B$51:$B$57,0)),"UNMATCHED")</f>
        <v>Female</v>
      </c>
      <c r="I114" s="32" t="str">
        <f aca="false">IF(Raw_Data!I114="","",Raw_Data!I114)</f>
        <v>18-29</v>
      </c>
      <c r="J114" s="32" t="str">
        <f aca="false">IFERROR(INDEX(Reference_Lists!$C$58:$C$65,MATCH(PROPER(TRIM(Raw_Data!J114)),Reference_Lists!$B$58:$B$65,0)),"UNMATCHED")</f>
        <v>Open</v>
      </c>
      <c r="K114" s="30" t="str">
        <f aca="false">IF(Raw_Data!K114="","",IF(ISTEXT(Raw_Data!K114),IFERROR(DATE(VALUE(RIGHT(TRIM(Raw_Data!K114),4)),VALUE(MID(TRIM(Raw_Data!K114),4,2)),VALUE(LEFT(TRIM(Raw_Data!K114),2))),"CHECK"),Raw_Data!K114))</f>
        <v/>
      </c>
      <c r="L114" s="33" t="str">
        <f aca="false">IF(Raw_Data!L114="","",Raw_Data!L114)</f>
        <v>Requesting information about the criteria for shelter repair kits.</v>
      </c>
      <c r="M114" s="34" t="str">
        <f aca="false">IF(OR(B114="",K114=""),"",IFERROR(K114-B114,"CHECK"))</f>
        <v/>
      </c>
      <c r="N114" s="34" t="n">
        <f aca="false">IFERROR(INDEX(Reference_Lists!$H$13:$H$14,MATCH(G114,Reference_Lists!$G$13:$G$14,0)),"UNMATCHED")</f>
        <v>15</v>
      </c>
      <c r="O114" s="32" t="str">
        <f aca="false">IF(AND(J114="Closed",ISNUMBER(M114),ISNUMBER(N114),M114&gt;=0),M114&lt;=N114,"NOT ASSESSED")</f>
        <v>NOT ASSESSED</v>
      </c>
      <c r="P114" s="36" t="str">
        <f aca="false">Raw_Data!A114</f>
        <v>CFM-2026-0214</v>
      </c>
      <c r="Q114" s="37" t="str">
        <f aca="false">IFERROR(IF(OR($A114="",$P114=""),"MISSING ID",IF(EXACT($A114,$P114),"ALIGNED","MISMATCH")),"CHECK")</f>
        <v>ALIGNED</v>
      </c>
    </row>
    <row r="115" customFormat="false" ht="19.5" hidden="false" customHeight="true" outlineLevel="0" collapsed="false">
      <c r="A115" s="29" t="s">
        <v>227</v>
      </c>
      <c r="B115" s="30" t="n">
        <f aca="false">IF(Raw_Data!B115="","",IF(ISTEXT(Raw_Data!B115),IFERROR(DATE(VALUE(RIGHT(TRIM(Raw_Data!B115),4)),VALUE(MID(TRIM(Raw_Data!B115),4,2)),VALUE(LEFT(TRIM(Raw_Data!B115),2))),"CHECK"),Raw_Data!B115))</f>
        <v>46089</v>
      </c>
      <c r="C115" s="31" t="str">
        <f aca="false">IFERROR(INDEX(Reference_Lists!$C$23:$C$35,MATCH(PROPER(TRIM(Raw_Data!C115)),Reference_Lists!$B$23:$B$35,0)),"UNMATCHED")</f>
        <v>Suggestion Box</v>
      </c>
      <c r="D115" s="31" t="str">
        <f aca="false">IFERROR(INDEX(Reference_Lists!$C$36:$C$50,MATCH(PROPER(TRIM(Raw_Data!D115)),Reference_Lists!$B$36:$B$50,0)),"UNMATCHED")</f>
        <v>Nuseirat</v>
      </c>
      <c r="E115" s="31" t="str">
        <f aca="false">IF(Raw_Data!E115="","",Raw_Data!E115)</f>
        <v/>
      </c>
      <c r="F115" s="31" t="str">
        <f aca="false">IF(Raw_Data!F115="","",Raw_Data!F115)</f>
        <v>Complaint</v>
      </c>
      <c r="G115" s="32" t="str">
        <f aca="false">IF(Raw_Data!G115="","",Raw_Data!G115)</f>
        <v>Non-Sensitive</v>
      </c>
      <c r="H115" s="32" t="str">
        <f aca="false">IFERROR(INDEX(Reference_Lists!$C$51:$C$57,MATCH(PROPER(TRIM(Raw_Data!H115)),Reference_Lists!$B$51:$B$57,0)),"UNMATCHED")</f>
        <v>Male</v>
      </c>
      <c r="I115" s="32" t="str">
        <f aca="false">IF(Raw_Data!I115="","",Raw_Data!I115)</f>
        <v>Under 18</v>
      </c>
      <c r="J115" s="32" t="str">
        <f aca="false">IFERROR(INDEX(Reference_Lists!$C$58:$C$65,MATCH(PROPER(TRIM(Raw_Data!J115)),Reference_Lists!$B$58:$B$65,0)),"UNMATCHED")</f>
        <v>In Progress</v>
      </c>
      <c r="K115" s="30" t="str">
        <f aca="false">IF(Raw_Data!K115="","",IF(ISTEXT(Raw_Data!K115),IFERROR(DATE(VALUE(RIGHT(TRIM(Raw_Data!K115),4)),VALUE(MID(TRIM(Raw_Data!K115),4,2)),VALUE(LEFT(TRIM(Raw_Data!K115),2))),"CHECK"),Raw_Data!K115))</f>
        <v/>
      </c>
      <c r="L115" s="33" t="str">
        <f aca="false">IF(Raw_Data!L115="","",Raw_Data!L115)</f>
        <v>Requesting a screening session closer to the northern shelter.</v>
      </c>
      <c r="M115" s="34" t="str">
        <f aca="false">IF(OR(B115="",K115=""),"",IFERROR(K115-B115,"CHECK"))</f>
        <v/>
      </c>
      <c r="N115" s="34" t="n">
        <f aca="false">IFERROR(INDEX(Reference_Lists!$H$13:$H$14,MATCH(G115,Reference_Lists!$G$13:$G$14,0)),"UNMATCHED")</f>
        <v>15</v>
      </c>
      <c r="O115" s="32" t="str">
        <f aca="false">IF(AND(J115="Closed",ISNUMBER(M115),ISNUMBER(N115),M115&gt;=0),M115&lt;=N115,"NOT ASSESSED")</f>
        <v>NOT ASSESSED</v>
      </c>
      <c r="P115" s="36" t="str">
        <f aca="false">Raw_Data!A115</f>
        <v>CFM-2026-0321</v>
      </c>
      <c r="Q115" s="37" t="str">
        <f aca="false">IFERROR(IF(OR($A115="",$P115=""),"MISSING ID",IF(EXACT($A115,$P115),"ALIGNED","MISMATCH")),"CHECK")</f>
        <v>ALIGNED</v>
      </c>
    </row>
    <row r="116" customFormat="false" ht="19.5" hidden="false" customHeight="true" outlineLevel="0" collapsed="false">
      <c r="A116" s="29" t="s">
        <v>228</v>
      </c>
      <c r="B116" s="30" t="n">
        <f aca="false">IF(Raw_Data!B116="","",IF(ISTEXT(Raw_Data!B116),IFERROR(DATE(VALUE(RIGHT(TRIM(Raw_Data!B116),4)),VALUE(MID(TRIM(Raw_Data!B116),4,2)),VALUE(LEFT(TRIM(Raw_Data!B116),2))),"CHECK"),Raw_Data!B116))</f>
        <v>46201</v>
      </c>
      <c r="C116" s="31" t="str">
        <f aca="false">IFERROR(INDEX(Reference_Lists!$C$23:$C$35,MATCH(PROPER(TRIM(Raw_Data!C116)),Reference_Lists!$B$23:$B$35,0)),"UNMATCHED")</f>
        <v>In-Person at Distribution</v>
      </c>
      <c r="D116" s="31" t="str">
        <f aca="false">IFERROR(INDEX(Reference_Lists!$C$36:$C$50,MATCH(PROPER(TRIM(Raw_Data!D116)),Reference_Lists!$B$36:$B$50,0)),"UNMATCHED")</f>
        <v>Deir al-Balah</v>
      </c>
      <c r="E116" s="31" t="str">
        <f aca="false">IF(Raw_Data!E116="","",Raw_Data!E116)</f>
        <v>WASH</v>
      </c>
      <c r="F116" s="31" t="str">
        <f aca="false">IF(Raw_Data!F116="","",Raw_Data!F116)</f>
        <v>Sensitive Complaint</v>
      </c>
      <c r="G116" s="32" t="str">
        <f aca="false">IF(Raw_Data!G116="","",Raw_Data!G116)</f>
        <v>Sensitive</v>
      </c>
      <c r="H116" s="32" t="str">
        <f aca="false">IFERROR(INDEX(Reference_Lists!$C$51:$C$57,MATCH(PROPER(TRIM(Raw_Data!H116)),Reference_Lists!$B$51:$B$57,0)),"UNMATCHED")</f>
        <v>Male</v>
      </c>
      <c r="I116" s="32" t="str">
        <f aca="false">IF(Raw_Data!I116="","",Raw_Data!I116)</f>
        <v>60+</v>
      </c>
      <c r="J116" s="32" t="str">
        <f aca="false">IFERROR(INDEX(Reference_Lists!$C$58:$C$65,MATCH(PROPER(TRIM(Raw_Data!J116)),Reference_Lists!$B$58:$B$65,0)),"UNMATCHED")</f>
        <v>Open</v>
      </c>
      <c r="K116" s="30" t="str">
        <f aca="false">IF(Raw_Data!K116="","",IF(ISTEXT(Raw_Data!K116),IFERROR(DATE(VALUE(RIGHT(TRIM(Raw_Data!K116),4)),VALUE(MID(TRIM(Raw_Data!K116),4,2)),VALUE(LEFT(TRIM(Raw_Data!K116),2))),"CHECK"),Raw_Data!K116))</f>
        <v/>
      </c>
      <c r="L116" s="33" t="str">
        <f aca="false">IF(Raw_Data!L116="","",Raw_Data!L116)</f>
        <v>Sensitive case - details recorded separately by the focal point; not stored in this tracker.</v>
      </c>
      <c r="M116" s="34" t="str">
        <f aca="false">IF(OR(B116="",K116=""),"",IFERROR(K116-B116,"CHECK"))</f>
        <v/>
      </c>
      <c r="N116" s="34" t="n">
        <f aca="false">IFERROR(INDEX(Reference_Lists!$H$13:$H$14,MATCH(G116,Reference_Lists!$G$13:$G$14,0)),"UNMATCHED")</f>
        <v>3</v>
      </c>
      <c r="O116" s="32" t="str">
        <f aca="false">IF(AND(J116="Closed",ISNUMBER(M116),ISNUMBER(N116),M116&gt;=0),M116&lt;=N116,"NOT ASSESSED")</f>
        <v>NOT ASSESSED</v>
      </c>
      <c r="P116" s="36" t="str">
        <f aca="false">Raw_Data!A116</f>
        <v>CFM-2026-0468</v>
      </c>
      <c r="Q116" s="37" t="str">
        <f aca="false">IFERROR(IF(OR($A116="",$P116=""),"MISSING ID",IF(EXACT($A116,$P116),"ALIGNED","MISMATCH")),"CHECK")</f>
        <v>ALIGNED</v>
      </c>
    </row>
    <row r="117" customFormat="false" ht="19.5" hidden="false" customHeight="true" outlineLevel="0" collapsed="false">
      <c r="A117" s="29" t="s">
        <v>229</v>
      </c>
      <c r="B117" s="30" t="n">
        <f aca="false">IF(Raw_Data!B117="","",IF(ISTEXT(Raw_Data!B117),IFERROR(DATE(VALUE(RIGHT(TRIM(Raw_Data!B117),4)),VALUE(MID(TRIM(Raw_Data!B117),4,2)),VALUE(LEFT(TRIM(Raw_Data!B117),2))),"CHECK"),Raw_Data!B117))</f>
        <v>46190</v>
      </c>
      <c r="C117" s="31" t="str">
        <f aca="false">IFERROR(INDEX(Reference_Lists!$C$23:$C$35,MATCH(PROPER(TRIM(Raw_Data!C117)),Reference_Lists!$B$23:$B$35,0)),"UNMATCHED")</f>
        <v>Community Focal Point</v>
      </c>
      <c r="D117" s="31" t="str">
        <f aca="false">IFERROR(INDEX(Reference_Lists!$C$36:$C$50,MATCH(PROPER(TRIM(Raw_Data!D117)),Reference_Lists!$B$36:$B$50,0)),"UNMATCHED")</f>
        <v>Deir al-Balah</v>
      </c>
      <c r="E117" s="31" t="str">
        <f aca="false">IF(Raw_Data!E117="","",Raw_Data!E117)</f>
        <v>Health</v>
      </c>
      <c r="F117" s="31" t="str">
        <f aca="false">IF(Raw_Data!F117="","",Raw_Data!F117)</f>
        <v>Suggestion</v>
      </c>
      <c r="G117" s="32" t="str">
        <f aca="false">IF(Raw_Data!G117="","",Raw_Data!G117)</f>
        <v>Non-Sensitive</v>
      </c>
      <c r="H117" s="32" t="str">
        <f aca="false">IFERROR(INDEX(Reference_Lists!$C$51:$C$57,MATCH(PROPER(TRIM(Raw_Data!H117)),Reference_Lists!$B$51:$B$57,0)),"UNMATCHED")</f>
        <v>Male</v>
      </c>
      <c r="I117" s="32" t="str">
        <f aca="false">IF(Raw_Data!I117="","",Raw_Data!I117)</f>
        <v>18-29</v>
      </c>
      <c r="J117" s="32" t="str">
        <f aca="false">IFERROR(INDEX(Reference_Lists!$C$58:$C$65,MATCH(PROPER(TRIM(Raw_Data!J117)),Reference_Lists!$B$58:$B$65,0)),"UNMATCHED")</f>
        <v>In Progress</v>
      </c>
      <c r="K117" s="30" t="str">
        <f aca="false">IF(Raw_Data!K117="","",IF(ISTEXT(Raw_Data!K117),IFERROR(DATE(VALUE(RIGHT(TRIM(Raw_Data!K117),4)),VALUE(MID(TRIM(Raw_Data!K117),4,2)),VALUE(LEFT(TRIM(Raw_Data!K117),2))),"CHECK"),Raw_Data!K117))</f>
        <v/>
      </c>
      <c r="L117" s="33" t="str">
        <f aca="false">IF(Raw_Data!L117="","",Raw_Data!L117)</f>
        <v>Clinic opening hours are not clear to the community.</v>
      </c>
      <c r="M117" s="34" t="str">
        <f aca="false">IF(OR(B117="",K117=""),"",IFERROR(K117-B117,"CHECK"))</f>
        <v/>
      </c>
      <c r="N117" s="34" t="n">
        <f aca="false">IFERROR(INDEX(Reference_Lists!$H$13:$H$14,MATCH(G117,Reference_Lists!$G$13:$G$14,0)),"UNMATCHED")</f>
        <v>15</v>
      </c>
      <c r="O117" s="32" t="str">
        <f aca="false">IF(AND(J117="Closed",ISNUMBER(M117),ISNUMBER(N117),M117&gt;=0),M117&lt;=N117,"NOT ASSESSED")</f>
        <v>NOT ASSESSED</v>
      </c>
      <c r="P117" s="36" t="str">
        <f aca="false">Raw_Data!A117</f>
        <v>CFM-2026-0475</v>
      </c>
      <c r="Q117" s="37" t="str">
        <f aca="false">IFERROR(IF(OR($A117="",$P117=""),"MISSING ID",IF(EXACT($A117,$P117),"ALIGNED","MISMATCH")),"CHECK")</f>
        <v>ALIGNED</v>
      </c>
    </row>
    <row r="118" customFormat="false" ht="19.5" hidden="false" customHeight="true" outlineLevel="0" collapsed="false">
      <c r="A118" s="29" t="s">
        <v>230</v>
      </c>
      <c r="B118" s="30" t="n">
        <f aca="false">IF(Raw_Data!B118="","",IF(ISTEXT(Raw_Data!B118),IFERROR(DATE(VALUE(RIGHT(TRIM(Raw_Data!B118),4)),VALUE(MID(TRIM(Raw_Data!B118),4,2)),VALUE(LEFT(TRIM(Raw_Data!B118),2))),"CHECK"),Raw_Data!B118))</f>
        <v>46118</v>
      </c>
      <c r="C118" s="31" t="str">
        <f aca="false">IFERROR(INDEX(Reference_Lists!$C$23:$C$35,MATCH(PROPER(TRIM(Raw_Data!C118)),Reference_Lists!$B$23:$B$35,0)),"UNMATCHED")</f>
        <v>Community Focal Point</v>
      </c>
      <c r="D118" s="31" t="str">
        <f aca="false">IFERROR(INDEX(Reference_Lists!$C$36:$C$50,MATCH(PROPER(TRIM(Raw_Data!D118)),Reference_Lists!$B$36:$B$50,0)),"UNMATCHED")</f>
        <v>Gaza City</v>
      </c>
      <c r="E118" s="31" t="str">
        <f aca="false">IF(Raw_Data!E118="","",Raw_Data!E118)</f>
        <v>WASH</v>
      </c>
      <c r="F118" s="31" t="str">
        <f aca="false">IF(Raw_Data!F118="","",Raw_Data!F118)</f>
        <v>Request for Information</v>
      </c>
      <c r="G118" s="32" t="str">
        <f aca="false">IF(Raw_Data!G118="","",Raw_Data!G118)</f>
        <v>Non-Sensitive</v>
      </c>
      <c r="H118" s="32" t="str">
        <f aca="false">IFERROR(INDEX(Reference_Lists!$C$51:$C$57,MATCH(PROPER(TRIM(Raw_Data!H118)),Reference_Lists!$B$51:$B$57,0)),"UNMATCHED")</f>
        <v>Male</v>
      </c>
      <c r="I118" s="32" t="str">
        <f aca="false">IF(Raw_Data!I118="","",Raw_Data!I118)</f>
        <v>18-29</v>
      </c>
      <c r="J118" s="32" t="str">
        <f aca="false">IFERROR(INDEX(Reference_Lists!$C$58:$C$65,MATCH(PROPER(TRIM(Raw_Data!J118)),Reference_Lists!$B$58:$B$65,0)),"UNMATCHED")</f>
        <v>Open</v>
      </c>
      <c r="K118" s="30" t="str">
        <f aca="false">IF(Raw_Data!K118="","",IF(ISTEXT(Raw_Data!K118),IFERROR(DATE(VALUE(RIGHT(TRIM(Raw_Data!K118),4)),VALUE(MID(TRIM(Raw_Data!K118),4,2)),VALUE(LEFT(TRIM(Raw_Data!K118),2))),"CHECK"),Raw_Data!K118))</f>
        <v/>
      </c>
      <c r="L118" s="33" t="str">
        <f aca="false">IF(Raw_Data!L118="","",Raw_Data!L118)</f>
        <v>Requesting additional jerrycans for a shared shelter of four families.</v>
      </c>
      <c r="M118" s="34" t="str">
        <f aca="false">IF(OR(B118="",K118=""),"",IFERROR(K118-B118,"CHECK"))</f>
        <v/>
      </c>
      <c r="N118" s="34" t="n">
        <f aca="false">IFERROR(INDEX(Reference_Lists!$H$13:$H$14,MATCH(G118,Reference_Lists!$G$13:$G$14,0)),"UNMATCHED")</f>
        <v>15</v>
      </c>
      <c r="O118" s="32" t="str">
        <f aca="false">IF(AND(J118="Closed",ISNUMBER(M118),ISNUMBER(N118),M118&gt;=0),M118&lt;=N118,"NOT ASSESSED")</f>
        <v>NOT ASSESSED</v>
      </c>
      <c r="P118" s="36" t="str">
        <f aca="false">Raw_Data!A118</f>
        <v>CFM-2026-0254</v>
      </c>
      <c r="Q118" s="37" t="str">
        <f aca="false">IFERROR(IF(OR($A118="",$P118=""),"MISSING ID",IF(EXACT($A118,$P118),"ALIGNED","MISMATCH")),"CHECK")</f>
        <v>ALIGNED</v>
      </c>
    </row>
    <row r="119" customFormat="false" ht="19.5" hidden="false" customHeight="true" outlineLevel="0" collapsed="false">
      <c r="A119" s="29" t="s">
        <v>231</v>
      </c>
      <c r="B119" s="30" t="n">
        <f aca="false">IF(Raw_Data!B119="","",IF(ISTEXT(Raw_Data!B119),IFERROR(DATE(VALUE(RIGHT(TRIM(Raw_Data!B119),4)),VALUE(MID(TRIM(Raw_Data!B119),4,2)),VALUE(LEFT(TRIM(Raw_Data!B119),2))),"CHECK"),Raw_Data!B119))</f>
        <v>46081</v>
      </c>
      <c r="C119" s="31" t="str">
        <f aca="false">IFERROR(INDEX(Reference_Lists!$C$23:$C$35,MATCH(PROPER(TRIM(Raw_Data!C119)),Reference_Lists!$B$23:$B$35,0)),"UNMATCHED")</f>
        <v>Suggestion Box</v>
      </c>
      <c r="D119" s="31" t="str">
        <f aca="false">IFERROR(INDEX(Reference_Lists!$C$36:$C$50,MATCH(PROPER(TRIM(Raw_Data!D119)),Reference_Lists!$B$36:$B$50,0)),"UNMATCHED")</f>
        <v>Khan Yunis</v>
      </c>
      <c r="E119" s="31" t="str">
        <f aca="false">IF(Raw_Data!E119="","",Raw_Data!E119)</f>
        <v>Food Security</v>
      </c>
      <c r="F119" s="31" t="str">
        <f aca="false">IF(Raw_Data!F119="","",Raw_Data!F119)</f>
        <v>Request for Information</v>
      </c>
      <c r="G119" s="32" t="str">
        <f aca="false">IF(Raw_Data!G119="","",Raw_Data!G119)</f>
        <v>Non-Sensitive</v>
      </c>
      <c r="H119" s="32" t="str">
        <f aca="false">IFERROR(INDEX(Reference_Lists!$C$51:$C$57,MATCH(PROPER(TRIM(Raw_Data!H119)),Reference_Lists!$B$51:$B$57,0)),"UNMATCHED")</f>
        <v>Male</v>
      </c>
      <c r="I119" s="32" t="str">
        <f aca="false">IF(Raw_Data!I119="","",Raw_Data!I119)</f>
        <v>30-44</v>
      </c>
      <c r="J119" s="32" t="str">
        <f aca="false">IFERROR(INDEX(Reference_Lists!$C$58:$C$65,MATCH(PROPER(TRIM(Raw_Data!J119)),Reference_Lists!$B$58:$B$65,0)),"UNMATCHED")</f>
        <v>Open</v>
      </c>
      <c r="K119" s="30" t="str">
        <f aca="false">IF(Raw_Data!K119="","",IF(ISTEXT(Raw_Data!K119),IFERROR(DATE(VALUE(RIGHT(TRIM(Raw_Data!K119),4)),VALUE(MID(TRIM(Raw_Data!K119),4,2)),VALUE(LEFT(TRIM(Raw_Data!K119),2))),"CHECK"),Raw_Data!K119))</f>
        <v/>
      </c>
      <c r="L119" s="33" t="str">
        <f aca="false">IF(Raw_Data!L119="","",Raw_Data!L119)</f>
        <v>Thanking the team for organising the last distribution well.</v>
      </c>
      <c r="M119" s="34" t="str">
        <f aca="false">IF(OR(B119="",K119=""),"",IFERROR(K119-B119,"CHECK"))</f>
        <v/>
      </c>
      <c r="N119" s="34" t="n">
        <f aca="false">IFERROR(INDEX(Reference_Lists!$H$13:$H$14,MATCH(G119,Reference_Lists!$G$13:$G$14,0)),"UNMATCHED")</f>
        <v>15</v>
      </c>
      <c r="O119" s="32" t="str">
        <f aca="false">IF(AND(J119="Closed",ISNUMBER(M119),ISNUMBER(N119),M119&gt;=0),M119&lt;=N119,"NOT ASSESSED")</f>
        <v>NOT ASSESSED</v>
      </c>
      <c r="P119" s="36" t="str">
        <f aca="false">Raw_Data!A119</f>
        <v>CFM-2026-0140</v>
      </c>
      <c r="Q119" s="37" t="str">
        <f aca="false">IFERROR(IF(OR($A119="",$P119=""),"MISSING ID",IF(EXACT($A119,$P119),"ALIGNED","MISMATCH")),"CHECK")</f>
        <v>ALIGNED</v>
      </c>
    </row>
    <row r="120" customFormat="false" ht="19.5" hidden="false" customHeight="true" outlineLevel="0" collapsed="false">
      <c r="A120" s="29" t="s">
        <v>232</v>
      </c>
      <c r="B120" s="30" t="n">
        <f aca="false">IF(Raw_Data!B120="","",IF(ISTEXT(Raw_Data!B120),IFERROR(DATE(VALUE(RIGHT(TRIM(Raw_Data!B120),4)),VALUE(MID(TRIM(Raw_Data!B120),4,2)),VALUE(LEFT(TRIM(Raw_Data!B120),2))),"CHECK"),Raw_Data!B120))</f>
        <v>46111</v>
      </c>
      <c r="C120" s="31" t="str">
        <f aca="false">IFERROR(INDEX(Reference_Lists!$C$23:$C$35,MATCH(PROPER(TRIM(Raw_Data!C120)),Reference_Lists!$B$23:$B$35,0)),"UNMATCHED")</f>
        <v>In-Person at Distribution</v>
      </c>
      <c r="D120" s="31" t="str">
        <f aca="false">IFERROR(INDEX(Reference_Lists!$C$36:$C$50,MATCH(PROPER(TRIM(Raw_Data!D120)),Reference_Lists!$B$36:$B$50,0)),"UNMATCHED")</f>
        <v>Jabalia</v>
      </c>
      <c r="E120" s="31" t="str">
        <f aca="false">IF(Raw_Data!E120="","",Raw_Data!E120)</f>
        <v>Nutrition</v>
      </c>
      <c r="F120" s="31" t="str">
        <f aca="false">IF(Raw_Data!F120="","",Raw_Data!F120)</f>
        <v>Complaint</v>
      </c>
      <c r="G120" s="32" t="str">
        <f aca="false">IF(Raw_Data!G120="","",Raw_Data!G120)</f>
        <v/>
      </c>
      <c r="H120" s="32" t="str">
        <f aca="false">IFERROR(INDEX(Reference_Lists!$C$51:$C$57,MATCH(PROPER(TRIM(Raw_Data!H120)),Reference_Lists!$B$51:$B$57,0)),"UNMATCHED")</f>
        <v>Female</v>
      </c>
      <c r="I120" s="32" t="str">
        <f aca="false">IF(Raw_Data!I120="","",Raw_Data!I120)</f>
        <v>30-44</v>
      </c>
      <c r="J120" s="32" t="str">
        <f aca="false">IFERROR(INDEX(Reference_Lists!$C$58:$C$65,MATCH(PROPER(TRIM(Raw_Data!J120)),Reference_Lists!$B$58:$B$65,0)),"UNMATCHED")</f>
        <v>Closed</v>
      </c>
      <c r="K120" s="30" t="n">
        <f aca="false">IF(Raw_Data!K120="","",IF(ISTEXT(Raw_Data!K120),IFERROR(DATE(VALUE(RIGHT(TRIM(Raw_Data!K120),4)),VALUE(MID(TRIM(Raw_Data!K120),4,2)),VALUE(LEFT(TRIM(Raw_Data!K120),2))),"CHECK"),Raw_Data!K120))</f>
        <v>46135</v>
      </c>
      <c r="L120" s="33" t="str">
        <f aca="false">IF(Raw_Data!L120="","",Raw_Data!L120)</f>
        <v/>
      </c>
      <c r="M120" s="34" t="n">
        <f aca="false">IF(OR(B120="",K120=""),"",IFERROR(K120-B120,"CHECK"))</f>
        <v>24</v>
      </c>
      <c r="N120" s="34" t="str">
        <f aca="false">IFERROR(INDEX(Reference_Lists!$H$13:$H$14,MATCH(G120,Reference_Lists!$G$13:$G$14,0)),"UNMATCHED")</f>
        <v>UNMATCHED</v>
      </c>
      <c r="O120" s="32" t="str">
        <f aca="false">IF(AND(J120="Closed",ISNUMBER(M120),ISNUMBER(N120),M120&gt;=0),M120&lt;=N120,"NOT ASSESSED")</f>
        <v>NOT ASSESSED</v>
      </c>
      <c r="P120" s="36" t="str">
        <f aca="false">Raw_Data!A120</f>
        <v>CFM-2026-0179</v>
      </c>
      <c r="Q120" s="37" t="str">
        <f aca="false">IFERROR(IF(OR($A120="",$P120=""),"MISSING ID",IF(EXACT($A120,$P120),"ALIGNED","MISMATCH")),"CHECK")</f>
        <v>ALIGNED</v>
      </c>
    </row>
    <row r="121" customFormat="false" ht="19.5" hidden="false" customHeight="true" outlineLevel="0" collapsed="false">
      <c r="A121" s="29" t="s">
        <v>233</v>
      </c>
      <c r="B121" s="30" t="n">
        <f aca="false">IF(Raw_Data!B121="","",IF(ISTEXT(Raw_Data!B121),IFERROR(DATE(VALUE(RIGHT(TRIM(Raw_Data!B121),4)),VALUE(MID(TRIM(Raw_Data!B121),4,2)),VALUE(LEFT(TRIM(Raw_Data!B121),2))),"CHECK"),Raw_Data!B121))</f>
        <v>46082</v>
      </c>
      <c r="C121" s="31" t="str">
        <f aca="false">IFERROR(INDEX(Reference_Lists!$C$23:$C$35,MATCH(PROPER(TRIM(Raw_Data!C121)),Reference_Lists!$B$23:$B$35,0)),"UNMATCHED")</f>
        <v>In-Person at Distribution</v>
      </c>
      <c r="D121" s="31" t="str">
        <f aca="false">IFERROR(INDEX(Reference_Lists!$C$36:$C$50,MATCH(PROPER(TRIM(Raw_Data!D121)),Reference_Lists!$B$36:$B$50,0)),"UNMATCHED")</f>
        <v>Rafah</v>
      </c>
      <c r="E121" s="31" t="str">
        <f aca="false">IF(Raw_Data!E121="","",Raw_Data!E121)</f>
        <v>WASH</v>
      </c>
      <c r="F121" s="31" t="str">
        <f aca="false">IF(Raw_Data!F121="","",Raw_Data!F121)</f>
        <v>Suggestion</v>
      </c>
      <c r="G121" s="32" t="str">
        <f aca="false">IF(Raw_Data!G121="","",Raw_Data!G121)</f>
        <v>Non-Sensitive</v>
      </c>
      <c r="H121" s="32" t="str">
        <f aca="false">IFERROR(INDEX(Reference_Lists!$C$51:$C$57,MATCH(PROPER(TRIM(Raw_Data!H121)),Reference_Lists!$B$51:$B$57,0)),"UNMATCHED")</f>
        <v>Female</v>
      </c>
      <c r="I121" s="32" t="str">
        <f aca="false">IF(Raw_Data!I121="","",Raw_Data!I121)</f>
        <v>45-59</v>
      </c>
      <c r="J121" s="32" t="str">
        <f aca="false">IFERROR(INDEX(Reference_Lists!$C$58:$C$65,MATCH(PROPER(TRIM(Raw_Data!J121)),Reference_Lists!$B$58:$B$65,0)),"UNMATCHED")</f>
        <v>Closed</v>
      </c>
      <c r="K121" s="30" t="n">
        <f aca="false">IF(Raw_Data!K121="","",IF(ISTEXT(Raw_Data!K121),IFERROR(DATE(VALUE(RIGHT(TRIM(Raw_Data!K121),4)),VALUE(MID(TRIM(Raw_Data!K121),4,2)),VALUE(LEFT(TRIM(Raw_Data!K121),2))),"CHECK"),Raw_Data!K121))</f>
        <v>46099</v>
      </c>
      <c r="L121" s="33" t="str">
        <f aca="false">IF(Raw_Data!L121="","",Raw_Data!L121)</f>
        <v>Requesting additional jerrycans for a shared shelter of four families.</v>
      </c>
      <c r="M121" s="34" t="n">
        <f aca="false">IF(OR(B121="",K121=""),"",IFERROR(K121-B121,"CHECK"))</f>
        <v>17</v>
      </c>
      <c r="N121" s="34" t="n">
        <f aca="false">IFERROR(INDEX(Reference_Lists!$H$13:$H$14,MATCH(G121,Reference_Lists!$G$13:$G$14,0)),"UNMATCHED")</f>
        <v>15</v>
      </c>
      <c r="O121" s="35" t="b">
        <f aca="false">IF(AND(J121="Closed",ISNUMBER(M121),ISNUMBER(N121),M121&gt;=0),M121&lt;=N121,"NOT ASSESSED")</f>
        <v>0</v>
      </c>
      <c r="P121" s="36" t="str">
        <f aca="false">Raw_Data!A121</f>
        <v>CFM-2026-0241</v>
      </c>
      <c r="Q121" s="37" t="str">
        <f aca="false">IFERROR(IF(OR($A121="",$P121=""),"MISSING ID",IF(EXACT($A121,$P121),"ALIGNED","MISMATCH")),"CHECK")</f>
        <v>ALIGNED</v>
      </c>
    </row>
    <row r="122" customFormat="false" ht="19.5" hidden="false" customHeight="true" outlineLevel="0" collapsed="false">
      <c r="A122" s="29" t="s">
        <v>234</v>
      </c>
      <c r="B122" s="30" t="n">
        <f aca="false">IF(Raw_Data!B122="","",IF(ISTEXT(Raw_Data!B122),IFERROR(DATE(VALUE(RIGHT(TRIM(Raw_Data!B122),4)),VALUE(MID(TRIM(Raw_Data!B122),4,2)),VALUE(LEFT(TRIM(Raw_Data!B122),2))),"CHECK"),Raw_Data!B122))</f>
        <v>46040</v>
      </c>
      <c r="C122" s="31" t="str">
        <f aca="false">IFERROR(INDEX(Reference_Lists!$C$23:$C$35,MATCH(PROPER(TRIM(Raw_Data!C122)),Reference_Lists!$B$23:$B$35,0)),"UNMATCHED")</f>
        <v>In-Person at Distribution</v>
      </c>
      <c r="D122" s="31" t="str">
        <f aca="false">IFERROR(INDEX(Reference_Lists!$C$36:$C$50,MATCH(PROPER(TRIM(Raw_Data!D122)),Reference_Lists!$B$36:$B$50,0)),"UNMATCHED")</f>
        <v>Nuseirat</v>
      </c>
      <c r="E122" s="31" t="str">
        <f aca="false">IF(Raw_Data!E122="","",Raw_Data!E122)</f>
        <v>Shelter</v>
      </c>
      <c r="F122" s="31" t="str">
        <f aca="false">IF(Raw_Data!F122="","",Raw_Data!F122)</f>
        <v>Suggestion</v>
      </c>
      <c r="G122" s="32" t="str">
        <f aca="false">IF(Raw_Data!G122="","",Raw_Data!G122)</f>
        <v>Non-Sensitive</v>
      </c>
      <c r="H122" s="32" t="str">
        <f aca="false">IFERROR(INDEX(Reference_Lists!$C$51:$C$57,MATCH(PROPER(TRIM(Raw_Data!H122)),Reference_Lists!$B$51:$B$57,0)),"UNMATCHED")</f>
        <v>Female</v>
      </c>
      <c r="I122" s="32" t="str">
        <f aca="false">IF(Raw_Data!I122="","",Raw_Data!I122)</f>
        <v>18-29</v>
      </c>
      <c r="J122" s="32" t="str">
        <f aca="false">IFERROR(INDEX(Reference_Lists!$C$58:$C$65,MATCH(PROPER(TRIM(Raw_Data!J122)),Reference_Lists!$B$58:$B$65,0)),"UNMATCHED")</f>
        <v>Open</v>
      </c>
      <c r="K122" s="30" t="str">
        <f aca="false">IF(Raw_Data!K122="","",IF(ISTEXT(Raw_Data!K122),IFERROR(DATE(VALUE(RIGHT(TRIM(Raw_Data!K122),4)),VALUE(MID(TRIM(Raw_Data!K122),4,2)),VALUE(LEFT(TRIM(Raw_Data!K122),2))),"CHECK"),Raw_Data!K122))</f>
        <v/>
      </c>
      <c r="L122" s="33" t="str">
        <f aca="false">IF(Raw_Data!L122="","",Raw_Data!L122)</f>
        <v>Tarpaulin received is torn and does not cover the shelter area.</v>
      </c>
      <c r="M122" s="34" t="str">
        <f aca="false">IF(OR(B122="",K122=""),"",IFERROR(K122-B122,"CHECK"))</f>
        <v/>
      </c>
      <c r="N122" s="34" t="n">
        <f aca="false">IFERROR(INDEX(Reference_Lists!$H$13:$H$14,MATCH(G122,Reference_Lists!$G$13:$G$14,0)),"UNMATCHED")</f>
        <v>15</v>
      </c>
      <c r="O122" s="32" t="str">
        <f aca="false">IF(AND(J122="Closed",ISNUMBER(M122),ISNUMBER(N122),M122&gt;=0),M122&lt;=N122,"NOT ASSESSED")</f>
        <v>NOT ASSESSED</v>
      </c>
      <c r="P122" s="36" t="str">
        <f aca="false">Raw_Data!A122</f>
        <v>CFM-2026-0357</v>
      </c>
      <c r="Q122" s="37" t="str">
        <f aca="false">IFERROR(IF(OR($A122="",$P122=""),"MISSING ID",IF(EXACT($A122,$P122),"ALIGNED","MISMATCH")),"CHECK")</f>
        <v>ALIGNED</v>
      </c>
    </row>
    <row r="123" customFormat="false" ht="19.5" hidden="false" customHeight="true" outlineLevel="0" collapsed="false">
      <c r="A123" s="29" t="s">
        <v>235</v>
      </c>
      <c r="B123" s="30" t="n">
        <f aca="false">IF(Raw_Data!B123="","",IF(ISTEXT(Raw_Data!B123),IFERROR(DATE(VALUE(RIGHT(TRIM(Raw_Data!B123),4)),VALUE(MID(TRIM(Raw_Data!B123),4,2)),VALUE(LEFT(TRIM(Raw_Data!B123),2))),"CHECK"),Raw_Data!B123))</f>
        <v>46073</v>
      </c>
      <c r="C123" s="31" t="str">
        <f aca="false">IFERROR(INDEX(Reference_Lists!$C$23:$C$35,MATCH(PROPER(TRIM(Raw_Data!C123)),Reference_Lists!$B$23:$B$35,0)),"UNMATCHED")</f>
        <v>Help Desk</v>
      </c>
      <c r="D123" s="31" t="str">
        <f aca="false">IFERROR(INDEX(Reference_Lists!$C$36:$C$50,MATCH(PROPER(TRIM(Raw_Data!D123)),Reference_Lists!$B$36:$B$50,0)),"UNMATCHED")</f>
        <v>Khan Yunis</v>
      </c>
      <c r="E123" s="31" t="str">
        <f aca="false">IF(Raw_Data!E123="","",Raw_Data!E123)</f>
        <v>Health</v>
      </c>
      <c r="F123" s="31" t="str">
        <f aca="false">IF(Raw_Data!F123="","",Raw_Data!F123)</f>
        <v>Request for Information</v>
      </c>
      <c r="G123" s="32" t="str">
        <f aca="false">IF(Raw_Data!G123="","",Raw_Data!G123)</f>
        <v>Non-Sensitive</v>
      </c>
      <c r="H123" s="32" t="str">
        <f aca="false">IFERROR(INDEX(Reference_Lists!$C$51:$C$57,MATCH(PROPER(TRIM(Raw_Data!H123)),Reference_Lists!$B$51:$B$57,0)),"UNMATCHED")</f>
        <v>Male</v>
      </c>
      <c r="I123" s="32" t="str">
        <f aca="false">IF(Raw_Data!I123="","",Raw_Data!I123)</f>
        <v>30-44</v>
      </c>
      <c r="J123" s="32" t="str">
        <f aca="false">IFERROR(INDEX(Reference_Lists!$C$58:$C$65,MATCH(PROPER(TRIM(Raw_Data!J123)),Reference_Lists!$B$58:$B$65,0)),"UNMATCHED")</f>
        <v>Open</v>
      </c>
      <c r="K123" s="30" t="str">
        <f aca="false">IF(Raw_Data!K123="","",IF(ISTEXT(Raw_Data!K123),IFERROR(DATE(VALUE(RIGHT(TRIM(Raw_Data!K123),4)),VALUE(MID(TRIM(Raw_Data!K123),4,2)),VALUE(LEFT(TRIM(Raw_Data!K123),2))),"CHECK"),Raw_Data!K123))</f>
        <v/>
      </c>
      <c r="L123" s="33" t="str">
        <f aca="false">IF(Raw_Data!L123="","",Raw_Data!L123)</f>
        <v>Clinic opening hours are not clear to the community.</v>
      </c>
      <c r="M123" s="34" t="str">
        <f aca="false">IF(OR(B123="",K123=""),"",IFERROR(K123-B123,"CHECK"))</f>
        <v/>
      </c>
      <c r="N123" s="34" t="n">
        <f aca="false">IFERROR(INDEX(Reference_Lists!$H$13:$H$14,MATCH(G123,Reference_Lists!$G$13:$G$14,0)),"UNMATCHED")</f>
        <v>15</v>
      </c>
      <c r="O123" s="32" t="str">
        <f aca="false">IF(AND(J123="Closed",ISNUMBER(M123),ISNUMBER(N123),M123&gt;=0),M123&lt;=N123,"NOT ASSESSED")</f>
        <v>NOT ASSESSED</v>
      </c>
      <c r="P123" s="36" t="str">
        <f aca="false">Raw_Data!A123</f>
        <v>CFM-2026-0411</v>
      </c>
      <c r="Q123" s="37" t="str">
        <f aca="false">IFERROR(IF(OR($A123="",$P123=""),"MISSING ID",IF(EXACT($A123,$P123),"ALIGNED","MISMATCH")),"CHECK")</f>
        <v>ALIGNED</v>
      </c>
    </row>
    <row r="124" customFormat="false" ht="19.5" hidden="false" customHeight="true" outlineLevel="0" collapsed="false">
      <c r="A124" s="29" t="s">
        <v>236</v>
      </c>
      <c r="B124" s="30" t="n">
        <f aca="false">IF(Raw_Data!B124="","",IF(ISTEXT(Raw_Data!B124),IFERROR(DATE(VALUE(RIGHT(TRIM(Raw_Data!B124),4)),VALUE(MID(TRIM(Raw_Data!B124),4,2)),VALUE(LEFT(TRIM(Raw_Data!B124),2))),"CHECK"),Raw_Data!B124))</f>
        <v>46031</v>
      </c>
      <c r="C124" s="31" t="str">
        <f aca="false">IFERROR(INDEX(Reference_Lists!$C$23:$C$35,MATCH(PROPER(TRIM(Raw_Data!C124)),Reference_Lists!$B$23:$B$35,0)),"UNMATCHED")</f>
        <v>In-Person at Distribution</v>
      </c>
      <c r="D124" s="31" t="str">
        <f aca="false">IFERROR(INDEX(Reference_Lists!$C$36:$C$50,MATCH(PROPER(TRIM(Raw_Data!D124)),Reference_Lists!$B$36:$B$50,0)),"UNMATCHED")</f>
        <v>Khan Yunis</v>
      </c>
      <c r="E124" s="31" t="str">
        <f aca="false">IF(Raw_Data!E124="","",Raw_Data!E124)</f>
        <v>Food Security</v>
      </c>
      <c r="F124" s="31" t="str">
        <f aca="false">IF(Raw_Data!F124="","",Raw_Data!F124)</f>
        <v>Suggestion</v>
      </c>
      <c r="G124" s="32" t="str">
        <f aca="false">IF(Raw_Data!G124="","",Raw_Data!G124)</f>
        <v>Non-Sensitive</v>
      </c>
      <c r="H124" s="32" t="str">
        <f aca="false">IFERROR(INDEX(Reference_Lists!$C$51:$C$57,MATCH(PROPER(TRIM(Raw_Data!H124)),Reference_Lists!$B$51:$B$57,0)),"UNMATCHED")</f>
        <v>Female</v>
      </c>
      <c r="I124" s="32" t="str">
        <f aca="false">IF(Raw_Data!I124="","",Raw_Data!I124)</f>
        <v>30-44</v>
      </c>
      <c r="J124" s="32" t="str">
        <f aca="false">IFERROR(INDEX(Reference_Lists!$C$58:$C$65,MATCH(PROPER(TRIM(Raw_Data!J124)),Reference_Lists!$B$58:$B$65,0)),"UNMATCHED")</f>
        <v>Closed</v>
      </c>
      <c r="K124" s="30" t="n">
        <f aca="false">IF(Raw_Data!K124="","",IF(ISTEXT(Raw_Data!K124),IFERROR(DATE(VALUE(RIGHT(TRIM(Raw_Data!K124),4)),VALUE(MID(TRIM(Raw_Data!K124),4,2)),VALUE(LEFT(TRIM(Raw_Data!K124),2))),"CHECK"),Raw_Data!K124))</f>
        <v>46053</v>
      </c>
      <c r="L124" s="33" t="str">
        <f aca="false">IF(Raw_Data!L124="","",Raw_Data!L124)</f>
        <v/>
      </c>
      <c r="M124" s="34" t="n">
        <f aca="false">IF(OR(B124="",K124=""),"",IFERROR(K124-B124,"CHECK"))</f>
        <v>22</v>
      </c>
      <c r="N124" s="34" t="n">
        <f aca="false">IFERROR(INDEX(Reference_Lists!$H$13:$H$14,MATCH(G124,Reference_Lists!$G$13:$G$14,0)),"UNMATCHED")</f>
        <v>15</v>
      </c>
      <c r="O124" s="35" t="b">
        <f aca="false">IF(AND(J124="Closed",ISNUMBER(M124),ISNUMBER(N124),M124&gt;=0),M124&lt;=N124,"NOT ASSESSED")</f>
        <v>0</v>
      </c>
      <c r="P124" s="36" t="str">
        <f aca="false">Raw_Data!A124</f>
        <v>CFM-2026-0457</v>
      </c>
      <c r="Q124" s="37" t="str">
        <f aca="false">IFERROR(IF(OR($A124="",$P124=""),"MISSING ID",IF(EXACT($A124,$P124),"ALIGNED","MISMATCH")),"CHECK")</f>
        <v>ALIGNED</v>
      </c>
    </row>
    <row r="125" customFormat="false" ht="19.5" hidden="false" customHeight="true" outlineLevel="0" collapsed="false">
      <c r="A125" s="29" t="s">
        <v>237</v>
      </c>
      <c r="B125" s="30" t="n">
        <f aca="false">IF(Raw_Data!B125="","",IF(ISTEXT(Raw_Data!B125),IFERROR(DATE(VALUE(RIGHT(TRIM(Raw_Data!B125),4)),VALUE(MID(TRIM(Raw_Data!B125),4,2)),VALUE(LEFT(TRIM(Raw_Data!B125),2))),"CHECK"),Raw_Data!B125))</f>
        <v>46076</v>
      </c>
      <c r="C125" s="31" t="str">
        <f aca="false">IFERROR(INDEX(Reference_Lists!$C$23:$C$35,MATCH(PROPER(TRIM(Raw_Data!C125)),Reference_Lists!$B$23:$B$35,0)),"UNMATCHED")</f>
        <v>In-Person at Distribution</v>
      </c>
      <c r="D125" s="31" t="str">
        <f aca="false">IFERROR(INDEX(Reference_Lists!$C$36:$C$50,MATCH(PROPER(TRIM(Raw_Data!D125)),Reference_Lists!$B$36:$B$50,0)),"UNMATCHED")</f>
        <v>Nuseirat</v>
      </c>
      <c r="E125" s="31" t="str">
        <f aca="false">IF(Raw_Data!E125="","",Raw_Data!E125)</f>
        <v>Shelter</v>
      </c>
      <c r="F125" s="31" t="str">
        <f aca="false">IF(Raw_Data!F125="","",Raw_Data!F125)</f>
        <v>Complaint</v>
      </c>
      <c r="G125" s="32" t="str">
        <f aca="false">IF(Raw_Data!G125="","",Raw_Data!G125)</f>
        <v>Non-Sensitive</v>
      </c>
      <c r="H125" s="32" t="str">
        <f aca="false">IFERROR(INDEX(Reference_Lists!$C$51:$C$57,MATCH(PROPER(TRIM(Raw_Data!H125)),Reference_Lists!$B$51:$B$57,0)),"UNMATCHED")</f>
        <v>Male</v>
      </c>
      <c r="I125" s="32" t="str">
        <f aca="false">IF(Raw_Data!I125="","",Raw_Data!I125)</f>
        <v>45-59</v>
      </c>
      <c r="J125" s="32" t="str">
        <f aca="false">IFERROR(INDEX(Reference_Lists!$C$58:$C$65,MATCH(PROPER(TRIM(Raw_Data!J125)),Reference_Lists!$B$58:$B$65,0)),"UNMATCHED")</f>
        <v>Closed</v>
      </c>
      <c r="K125" s="30" t="n">
        <f aca="false">IF(Raw_Data!K125="","",IF(ISTEXT(Raw_Data!K125),IFERROR(DATE(VALUE(RIGHT(TRIM(Raw_Data!K125),4)),VALUE(MID(TRIM(Raw_Data!K125),4,2)),VALUE(LEFT(TRIM(Raw_Data!K125),2))),"CHECK"),Raw_Data!K125))</f>
        <v>46103</v>
      </c>
      <c r="L125" s="33" t="str">
        <f aca="false">IF(Raw_Data!L125="","",Raw_Data!L125)</f>
        <v>Tarpaulin received is torn and does not cover the shelter area.</v>
      </c>
      <c r="M125" s="34" t="n">
        <f aca="false">IF(OR(B125="",K125=""),"",IFERROR(K125-B125,"CHECK"))</f>
        <v>27</v>
      </c>
      <c r="N125" s="34" t="n">
        <f aca="false">IFERROR(INDEX(Reference_Lists!$H$13:$H$14,MATCH(G125,Reference_Lists!$G$13:$G$14,0)),"UNMATCHED")</f>
        <v>15</v>
      </c>
      <c r="O125" s="35" t="b">
        <f aca="false">IF(AND(J125="Closed",ISNUMBER(M125),ISNUMBER(N125),M125&gt;=0),M125&lt;=N125,"NOT ASSESSED")</f>
        <v>0</v>
      </c>
      <c r="P125" s="36" t="str">
        <f aca="false">Raw_Data!A125</f>
        <v>CFM-2026-0400</v>
      </c>
      <c r="Q125" s="37" t="str">
        <f aca="false">IFERROR(IF(OR($A125="",$P125=""),"MISSING ID",IF(EXACT($A125,$P125),"ALIGNED","MISMATCH")),"CHECK")</f>
        <v>ALIGNED</v>
      </c>
    </row>
    <row r="126" customFormat="false" ht="19.5" hidden="false" customHeight="true" outlineLevel="0" collapsed="false">
      <c r="A126" s="29" t="s">
        <v>238</v>
      </c>
      <c r="B126" s="30" t="n">
        <f aca="false">IF(Raw_Data!B126="","",IF(ISTEXT(Raw_Data!B126),IFERROR(DATE(VALUE(RIGHT(TRIM(Raw_Data!B126),4)),VALUE(MID(TRIM(Raw_Data!B126),4,2)),VALUE(LEFT(TRIM(Raw_Data!B126),2))),"CHECK"),Raw_Data!B126))</f>
        <v>46072</v>
      </c>
      <c r="C126" s="31" t="str">
        <f aca="false">IFERROR(INDEX(Reference_Lists!$C$23:$C$35,MATCH(PROPER(TRIM(Raw_Data!C126)),Reference_Lists!$B$23:$B$35,0)),"UNMATCHED")</f>
        <v>In-Person at Distribution</v>
      </c>
      <c r="D126" s="31" t="str">
        <f aca="false">IFERROR(INDEX(Reference_Lists!$C$36:$C$50,MATCH(PROPER(TRIM(Raw_Data!D126)),Reference_Lists!$B$36:$B$50,0)),"UNMATCHED")</f>
        <v>Gaza City</v>
      </c>
      <c r="E126" s="31" t="str">
        <f aca="false">IF(Raw_Data!E126="","",Raw_Data!E126)</f>
        <v>Food Security</v>
      </c>
      <c r="F126" s="31" t="str">
        <f aca="false">IF(Raw_Data!F126="","",Raw_Data!F126)</f>
        <v>Complaint</v>
      </c>
      <c r="G126" s="32" t="str">
        <f aca="false">IF(Raw_Data!G126="","",Raw_Data!G126)</f>
        <v>Non-Sensitive</v>
      </c>
      <c r="H126" s="32" t="str">
        <f aca="false">IFERROR(INDEX(Reference_Lists!$C$51:$C$57,MATCH(PROPER(TRIM(Raw_Data!H126)),Reference_Lists!$B$51:$B$57,0)),"UNMATCHED")</f>
        <v>Female</v>
      </c>
      <c r="I126" s="32" t="str">
        <f aca="false">IF(Raw_Data!I126="","",Raw_Data!I126)</f>
        <v>18-29</v>
      </c>
      <c r="J126" s="32" t="str">
        <f aca="false">IFERROR(INDEX(Reference_Lists!$C$58:$C$65,MATCH(PROPER(TRIM(Raw_Data!J126)),Reference_Lists!$B$58:$B$65,0)),"UNMATCHED")</f>
        <v>Closed</v>
      </c>
      <c r="K126" s="30" t="n">
        <f aca="false">IF(Raw_Data!K126="","",IF(ISTEXT(Raw_Data!K126),IFERROR(DATE(VALUE(RIGHT(TRIM(Raw_Data!K126),4)),VALUE(MID(TRIM(Raw_Data!K126),4,2)),VALUE(LEFT(TRIM(Raw_Data!K126),2))),"CHECK"),Raw_Data!K126))</f>
        <v>46090</v>
      </c>
      <c r="L126" s="33" t="str">
        <f aca="false">IF(Raw_Data!L126="","",Raw_Data!L126)</f>
        <v>Thanking the team for organising the last distribution well.</v>
      </c>
      <c r="M126" s="34" t="n">
        <f aca="false">IF(OR(B126="",K126=""),"",IFERROR(K126-B126,"CHECK"))</f>
        <v>18</v>
      </c>
      <c r="N126" s="34" t="n">
        <f aca="false">IFERROR(INDEX(Reference_Lists!$H$13:$H$14,MATCH(G126,Reference_Lists!$G$13:$G$14,0)),"UNMATCHED")</f>
        <v>15</v>
      </c>
      <c r="O126" s="35" t="b">
        <f aca="false">IF(AND(J126="Closed",ISNUMBER(M126),ISNUMBER(N126),M126&gt;=0),M126&lt;=N126,"NOT ASSESSED")</f>
        <v>0</v>
      </c>
      <c r="P126" s="36" t="str">
        <f aca="false">Raw_Data!A126</f>
        <v>CFM-2026-0263</v>
      </c>
      <c r="Q126" s="37" t="str">
        <f aca="false">IFERROR(IF(OR($A126="",$P126=""),"MISSING ID",IF(EXACT($A126,$P126),"ALIGNED","MISMATCH")),"CHECK")</f>
        <v>ALIGNED</v>
      </c>
    </row>
    <row r="127" customFormat="false" ht="19.5" hidden="false" customHeight="true" outlineLevel="0" collapsed="false">
      <c r="A127" s="29" t="s">
        <v>239</v>
      </c>
      <c r="B127" s="30" t="n">
        <f aca="false">IF(Raw_Data!B127="","",IF(ISTEXT(Raw_Data!B127),IFERROR(DATE(VALUE(RIGHT(TRIM(Raw_Data!B127),4)),VALUE(MID(TRIM(Raw_Data!B127),4,2)),VALUE(LEFT(TRIM(Raw_Data!B127),2))),"CHECK"),Raw_Data!B127))</f>
        <v>46132</v>
      </c>
      <c r="C127" s="31" t="str">
        <f aca="false">IFERROR(INDEX(Reference_Lists!$C$23:$C$35,MATCH(PROPER(TRIM(Raw_Data!C127)),Reference_Lists!$B$23:$B$35,0)),"UNMATCHED")</f>
        <v>Help Desk</v>
      </c>
      <c r="D127" s="31" t="str">
        <f aca="false">IFERROR(INDEX(Reference_Lists!$C$36:$C$50,MATCH(PROPER(TRIM(Raw_Data!D127)),Reference_Lists!$B$36:$B$50,0)),"UNMATCHED")</f>
        <v>Gaza City</v>
      </c>
      <c r="E127" s="31" t="str">
        <f aca="false">IF(Raw_Data!E127="","",Raw_Data!E127)</f>
        <v/>
      </c>
      <c r="F127" s="31" t="str">
        <f aca="false">IF(Raw_Data!F127="","",Raw_Data!F127)</f>
        <v>Request for Information</v>
      </c>
      <c r="G127" s="32" t="str">
        <f aca="false">IF(Raw_Data!G127="","",Raw_Data!G127)</f>
        <v>Non-Sensitive</v>
      </c>
      <c r="H127" s="32" t="str">
        <f aca="false">IFERROR(INDEX(Reference_Lists!$C$51:$C$57,MATCH(PROPER(TRIM(Raw_Data!H127)),Reference_Lists!$B$51:$B$57,0)),"UNMATCHED")</f>
        <v>Male</v>
      </c>
      <c r="I127" s="32" t="str">
        <f aca="false">IF(Raw_Data!I127="","",Raw_Data!I127)</f>
        <v>18-29</v>
      </c>
      <c r="J127" s="32" t="str">
        <f aca="false">IFERROR(INDEX(Reference_Lists!$C$58:$C$65,MATCH(PROPER(TRIM(Raw_Data!J127)),Reference_Lists!$B$58:$B$65,0)),"UNMATCHED")</f>
        <v>Closed</v>
      </c>
      <c r="K127" s="30" t="n">
        <f aca="false">IF(Raw_Data!K127="","",IF(ISTEXT(Raw_Data!K127),IFERROR(DATE(VALUE(RIGHT(TRIM(Raw_Data!K127),4)),VALUE(MID(TRIM(Raw_Data!K127),4,2)),VALUE(LEFT(TRIM(Raw_Data!K127),2))),"CHECK"),Raw_Data!K127))</f>
        <v>46153</v>
      </c>
      <c r="L127" s="33" t="str">
        <f aca="false">IF(Raw_Data!L127="","",Raw_Data!L127)</f>
        <v>Asking whether children above five are included in the screening.</v>
      </c>
      <c r="M127" s="34" t="n">
        <f aca="false">IF(OR(B127="",K127=""),"",IFERROR(K127-B127,"CHECK"))</f>
        <v>21</v>
      </c>
      <c r="N127" s="34" t="n">
        <f aca="false">IFERROR(INDEX(Reference_Lists!$H$13:$H$14,MATCH(G127,Reference_Lists!$G$13:$G$14,0)),"UNMATCHED")</f>
        <v>15</v>
      </c>
      <c r="O127" s="35" t="b">
        <f aca="false">IF(AND(J127="Closed",ISNUMBER(M127),ISNUMBER(N127),M127&gt;=0),M127&lt;=N127,"NOT ASSESSED")</f>
        <v>0</v>
      </c>
      <c r="P127" s="36" t="str">
        <f aca="false">Raw_Data!A127</f>
        <v>CFM-2026-0160</v>
      </c>
      <c r="Q127" s="37" t="str">
        <f aca="false">IFERROR(IF(OR($A127="",$P127=""),"MISSING ID",IF(EXACT($A127,$P127),"ALIGNED","MISMATCH")),"CHECK")</f>
        <v>ALIGNED</v>
      </c>
    </row>
    <row r="128" customFormat="false" ht="19.5" hidden="false" customHeight="true" outlineLevel="0" collapsed="false">
      <c r="A128" s="29" t="s">
        <v>240</v>
      </c>
      <c r="B128" s="30" t="n">
        <f aca="false">IF(Raw_Data!B128="","",IF(ISTEXT(Raw_Data!B128),IFERROR(DATE(VALUE(RIGHT(TRIM(Raw_Data!B128),4)),VALUE(MID(TRIM(Raw_Data!B128),4,2)),VALUE(LEFT(TRIM(Raw_Data!B128),2))),"CHECK"),Raw_Data!B128))</f>
        <v>46090</v>
      </c>
      <c r="C128" s="31" t="str">
        <f aca="false">IFERROR(INDEX(Reference_Lists!$C$23:$C$35,MATCH(PROPER(TRIM(Raw_Data!C128)),Reference_Lists!$B$23:$B$35,0)),"UNMATCHED")</f>
        <v>Phone Hotline</v>
      </c>
      <c r="D128" s="31" t="str">
        <f aca="false">IFERROR(INDEX(Reference_Lists!$C$36:$C$50,MATCH(PROPER(TRIM(Raw_Data!D128)),Reference_Lists!$B$36:$B$50,0)),"UNMATCHED")</f>
        <v>Rafah</v>
      </c>
      <c r="E128" s="31" t="str">
        <f aca="false">IF(Raw_Data!E128="","",Raw_Data!E128)</f>
        <v>Health</v>
      </c>
      <c r="F128" s="31" t="str">
        <f aca="false">IF(Raw_Data!F128="","",Raw_Data!F128)</f>
        <v>Request for Information</v>
      </c>
      <c r="G128" s="32" t="str">
        <f aca="false">IF(Raw_Data!G128="","",Raw_Data!G128)</f>
        <v>Non-Sensitive</v>
      </c>
      <c r="H128" s="32" t="str">
        <f aca="false">IFERROR(INDEX(Reference_Lists!$C$51:$C$57,MATCH(PROPER(TRIM(Raw_Data!H128)),Reference_Lists!$B$51:$B$57,0)),"UNMATCHED")</f>
        <v>Male</v>
      </c>
      <c r="I128" s="32" t="str">
        <f aca="false">IF(Raw_Data!I128="","",Raw_Data!I128)</f>
        <v>18-29</v>
      </c>
      <c r="J128" s="32" t="str">
        <f aca="false">IFERROR(INDEX(Reference_Lists!$C$58:$C$65,MATCH(PROPER(TRIM(Raw_Data!J128)),Reference_Lists!$B$58:$B$65,0)),"UNMATCHED")</f>
        <v>Open</v>
      </c>
      <c r="K128" s="30" t="str">
        <f aca="false">IF(Raw_Data!K128="","",IF(ISTEXT(Raw_Data!K128),IFERROR(DATE(VALUE(RIGHT(TRIM(Raw_Data!K128),4)),VALUE(MID(TRIM(Raw_Data!K128),4,2)),VALUE(LEFT(TRIM(Raw_Data!K128),2))),"CHECK"),Raw_Data!K128))</f>
        <v/>
      </c>
      <c r="L128" s="33" t="str">
        <f aca="false">IF(Raw_Data!L128="","",Raw_Data!L128)</f>
        <v>Requesting a referral pathway for a family member with limited mobility.</v>
      </c>
      <c r="M128" s="34" t="str">
        <f aca="false">IF(OR(B128="",K128=""),"",IFERROR(K128-B128,"CHECK"))</f>
        <v/>
      </c>
      <c r="N128" s="34" t="n">
        <f aca="false">IFERROR(INDEX(Reference_Lists!$H$13:$H$14,MATCH(G128,Reference_Lists!$G$13:$G$14,0)),"UNMATCHED")</f>
        <v>15</v>
      </c>
      <c r="O128" s="32" t="str">
        <f aca="false">IF(AND(J128="Closed",ISNUMBER(M128),ISNUMBER(N128),M128&gt;=0),M128&lt;=N128,"NOT ASSESSED")</f>
        <v>NOT ASSESSED</v>
      </c>
      <c r="P128" s="36" t="str">
        <f aca="false">Raw_Data!A128</f>
        <v>CFM-2026-0063</v>
      </c>
      <c r="Q128" s="37" t="str">
        <f aca="false">IFERROR(IF(OR($A128="",$P128=""),"MISSING ID",IF(EXACT($A128,$P128),"ALIGNED","MISMATCH")),"CHECK")</f>
        <v>ALIGNED</v>
      </c>
    </row>
    <row r="129" customFormat="false" ht="19.5" hidden="false" customHeight="true" outlineLevel="0" collapsed="false">
      <c r="A129" s="29" t="s">
        <v>241</v>
      </c>
      <c r="B129" s="30" t="n">
        <f aca="false">IF(Raw_Data!B129="","",IF(ISTEXT(Raw_Data!B129),IFERROR(DATE(VALUE(RIGHT(TRIM(Raw_Data!B129),4)),VALUE(MID(TRIM(Raw_Data!B129),4,2)),VALUE(LEFT(TRIM(Raw_Data!B129),2))),"CHECK"),Raw_Data!B129))</f>
        <v>46177</v>
      </c>
      <c r="C129" s="31" t="str">
        <f aca="false">IFERROR(INDEX(Reference_Lists!$C$23:$C$35,MATCH(PROPER(TRIM(Raw_Data!C129)),Reference_Lists!$B$23:$B$35,0)),"UNMATCHED")</f>
        <v>Phone Hotline</v>
      </c>
      <c r="D129" s="31" t="str">
        <f aca="false">IFERROR(INDEX(Reference_Lists!$C$36:$C$50,MATCH(PROPER(TRIM(Raw_Data!D129)),Reference_Lists!$B$36:$B$50,0)),"UNMATCHED")</f>
        <v>Khan Yunis</v>
      </c>
      <c r="E129" s="31" t="str">
        <f aca="false">IF(Raw_Data!E129="","",Raw_Data!E129)</f>
        <v>Food Security</v>
      </c>
      <c r="F129" s="31" t="str">
        <f aca="false">IF(Raw_Data!F129="","",Raw_Data!F129)</f>
        <v>Complaint</v>
      </c>
      <c r="G129" s="32" t="str">
        <f aca="false">IF(Raw_Data!G129="","",Raw_Data!G129)</f>
        <v>Non-Sensitive</v>
      </c>
      <c r="H129" s="32" t="str">
        <f aca="false">IFERROR(INDEX(Reference_Lists!$C$51:$C$57,MATCH(PROPER(TRIM(Raw_Data!H129)),Reference_Lists!$B$51:$B$57,0)),"UNMATCHED")</f>
        <v>Male</v>
      </c>
      <c r="I129" s="32" t="str">
        <f aca="false">IF(Raw_Data!I129="","",Raw_Data!I129)</f>
        <v>30-44</v>
      </c>
      <c r="J129" s="32" t="str">
        <f aca="false">IFERROR(INDEX(Reference_Lists!$C$58:$C$65,MATCH(PROPER(TRIM(Raw_Data!J129)),Reference_Lists!$B$58:$B$65,0)),"UNMATCHED")</f>
        <v>In Progress</v>
      </c>
      <c r="K129" s="30" t="str">
        <f aca="false">IF(Raw_Data!K129="","",IF(ISTEXT(Raw_Data!K129),IFERROR(DATE(VALUE(RIGHT(TRIM(Raw_Data!K129),4)),VALUE(MID(TRIM(Raw_Data!K129),4,2)),VALUE(LEFT(TRIM(Raw_Data!K129),2))),"CHECK"),Raw_Data!K129))</f>
        <v/>
      </c>
      <c r="L129" s="33" t="str">
        <f aca="false">IF(Raw_Data!L129="","",Raw_Data!L129)</f>
        <v>Asking how the beneficiary list for the next round is prepared.</v>
      </c>
      <c r="M129" s="34" t="str">
        <f aca="false">IF(OR(B129="",K129=""),"",IFERROR(K129-B129,"CHECK"))</f>
        <v/>
      </c>
      <c r="N129" s="34" t="n">
        <f aca="false">IFERROR(INDEX(Reference_Lists!$H$13:$H$14,MATCH(G129,Reference_Lists!$G$13:$G$14,0)),"UNMATCHED")</f>
        <v>15</v>
      </c>
      <c r="O129" s="32" t="str">
        <f aca="false">IF(AND(J129="Closed",ISNUMBER(M129),ISNUMBER(N129),M129&gt;=0),M129&lt;=N129,"NOT ASSESSED")</f>
        <v>NOT ASSESSED</v>
      </c>
      <c r="P129" s="36" t="str">
        <f aca="false">Raw_Data!A129</f>
        <v>CFM-2026-0327</v>
      </c>
      <c r="Q129" s="37" t="str">
        <f aca="false">IFERROR(IF(OR($A129="",$P129=""),"MISSING ID",IF(EXACT($A129,$P129),"ALIGNED","MISMATCH")),"CHECK")</f>
        <v>ALIGNED</v>
      </c>
    </row>
    <row r="130" customFormat="false" ht="19.5" hidden="false" customHeight="true" outlineLevel="0" collapsed="false">
      <c r="A130" s="29" t="s">
        <v>242</v>
      </c>
      <c r="B130" s="30" t="n">
        <f aca="false">IF(Raw_Data!B130="","",IF(ISTEXT(Raw_Data!B130),IFERROR(DATE(VALUE(RIGHT(TRIM(Raw_Data!B130),4)),VALUE(MID(TRIM(Raw_Data!B130),4,2)),VALUE(LEFT(TRIM(Raw_Data!B130),2))),"CHECK"),Raw_Data!B130))</f>
        <v>46175</v>
      </c>
      <c r="C130" s="31" t="str">
        <f aca="false">IFERROR(INDEX(Reference_Lists!$C$23:$C$35,MATCH(PROPER(TRIM(Raw_Data!C130)),Reference_Lists!$B$23:$B$35,0)),"UNMATCHED")</f>
        <v>In-Person at Distribution</v>
      </c>
      <c r="D130" s="31" t="str">
        <f aca="false">IFERROR(INDEX(Reference_Lists!$C$36:$C$50,MATCH(PROPER(TRIM(Raw_Data!D130)),Reference_Lists!$B$36:$B$50,0)),"UNMATCHED")</f>
        <v>Nuseirat</v>
      </c>
      <c r="E130" s="31" t="str">
        <f aca="false">IF(Raw_Data!E130="","",Raw_Data!E130)</f>
        <v>Shelter</v>
      </c>
      <c r="F130" s="31" t="str">
        <f aca="false">IF(Raw_Data!F130="","",Raw_Data!F130)</f>
        <v>Appreciation</v>
      </c>
      <c r="G130" s="32" t="str">
        <f aca="false">IF(Raw_Data!G130="","",Raw_Data!G130)</f>
        <v>Non-Sensitive</v>
      </c>
      <c r="H130" s="32" t="str">
        <f aca="false">IFERROR(INDEX(Reference_Lists!$C$51:$C$57,MATCH(PROPER(TRIM(Raw_Data!H130)),Reference_Lists!$B$51:$B$57,0)),"UNMATCHED")</f>
        <v>Female</v>
      </c>
      <c r="I130" s="32" t="str">
        <f aca="false">IF(Raw_Data!I130="","",Raw_Data!I130)</f>
        <v>60+</v>
      </c>
      <c r="J130" s="32" t="str">
        <f aca="false">IFERROR(INDEX(Reference_Lists!$C$58:$C$65,MATCH(PROPER(TRIM(Raw_Data!J130)),Reference_Lists!$B$58:$B$65,0)),"UNMATCHED")</f>
        <v>Open</v>
      </c>
      <c r="K130" s="30" t="str">
        <f aca="false">IF(Raw_Data!K130="","",IF(ISTEXT(Raw_Data!K130),IFERROR(DATE(VALUE(RIGHT(TRIM(Raw_Data!K130),4)),VALUE(MID(TRIM(Raw_Data!K130),4,2)),VALUE(LEFT(TRIM(Raw_Data!K130),2))),"CHECK"),Raw_Data!K130))</f>
        <v/>
      </c>
      <c r="L130" s="33" t="str">
        <f aca="false">IF(Raw_Data!L130="","",Raw_Data!L130)</f>
        <v>Tarpaulin received is torn and does not cover the shelter area.</v>
      </c>
      <c r="M130" s="34" t="str">
        <f aca="false">IF(OR(B130="",K130=""),"",IFERROR(K130-B130,"CHECK"))</f>
        <v/>
      </c>
      <c r="N130" s="34" t="n">
        <f aca="false">IFERROR(INDEX(Reference_Lists!$H$13:$H$14,MATCH(G130,Reference_Lists!$G$13:$G$14,0)),"UNMATCHED")</f>
        <v>15</v>
      </c>
      <c r="O130" s="32" t="str">
        <f aca="false">IF(AND(J130="Closed",ISNUMBER(M130),ISNUMBER(N130),M130&gt;=0),M130&lt;=N130,"NOT ASSESSED")</f>
        <v>NOT ASSESSED</v>
      </c>
      <c r="P130" s="36" t="str">
        <f aca="false">Raw_Data!A130</f>
        <v>CFM-2026-0188</v>
      </c>
      <c r="Q130" s="37" t="str">
        <f aca="false">IFERROR(IF(OR($A130="",$P130=""),"MISSING ID",IF(EXACT($A130,$P130),"ALIGNED","MISMATCH")),"CHECK")</f>
        <v>ALIGNED</v>
      </c>
    </row>
    <row r="131" customFormat="false" ht="19.5" hidden="false" customHeight="true" outlineLevel="0" collapsed="false">
      <c r="A131" s="29" t="s">
        <v>243</v>
      </c>
      <c r="B131" s="30" t="n">
        <f aca="false">IF(Raw_Data!B131="","",IF(ISTEXT(Raw_Data!B131),IFERROR(DATE(VALUE(RIGHT(TRIM(Raw_Data!B131),4)),VALUE(MID(TRIM(Raw_Data!B131),4,2)),VALUE(LEFT(TRIM(Raw_Data!B131),2))),"CHECK"),Raw_Data!B131))</f>
        <v>46091</v>
      </c>
      <c r="C131" s="31" t="str">
        <f aca="false">IFERROR(INDEX(Reference_Lists!$C$23:$C$35,MATCH(PROPER(TRIM(Raw_Data!C131)),Reference_Lists!$B$23:$B$35,0)),"UNMATCHED")</f>
        <v>Suggestion Box</v>
      </c>
      <c r="D131" s="31" t="str">
        <f aca="false">IFERROR(INDEX(Reference_Lists!$C$36:$C$50,MATCH(PROPER(TRIM(Raw_Data!D131)),Reference_Lists!$B$36:$B$50,0)),"UNMATCHED")</f>
        <v>Jabalia</v>
      </c>
      <c r="E131" s="31" t="str">
        <f aca="false">IF(Raw_Data!E131="","",Raw_Data!E131)</f>
        <v>Nutrition</v>
      </c>
      <c r="F131" s="31" t="str">
        <f aca="false">IF(Raw_Data!F131="","",Raw_Data!F131)</f>
        <v>Complaint</v>
      </c>
      <c r="G131" s="32" t="str">
        <f aca="false">IF(Raw_Data!G131="","",Raw_Data!G131)</f>
        <v>Non-Sensitive</v>
      </c>
      <c r="H131" s="32" t="str">
        <f aca="false">IFERROR(INDEX(Reference_Lists!$C$51:$C$57,MATCH(PROPER(TRIM(Raw_Data!H131)),Reference_Lists!$B$51:$B$57,0)),"UNMATCHED")</f>
        <v>Female</v>
      </c>
      <c r="I131" s="32" t="str">
        <f aca="false">IF(Raw_Data!I131="","",Raw_Data!I131)</f>
        <v>30-44</v>
      </c>
      <c r="J131" s="32" t="str">
        <f aca="false">IFERROR(INDEX(Reference_Lists!$C$58:$C$65,MATCH(PROPER(TRIM(Raw_Data!J131)),Reference_Lists!$B$58:$B$65,0)),"UNMATCHED")</f>
        <v>Closed</v>
      </c>
      <c r="K131" s="30" t="n">
        <f aca="false">IF(Raw_Data!K131="","",IF(ISTEXT(Raw_Data!K131),IFERROR(DATE(VALUE(RIGHT(TRIM(Raw_Data!K131),4)),VALUE(MID(TRIM(Raw_Data!K131),4,2)),VALUE(LEFT(TRIM(Raw_Data!K131),2))),"CHECK"),Raw_Data!K131))</f>
        <v>46098</v>
      </c>
      <c r="L131" s="33" t="str">
        <f aca="false">IF(Raw_Data!L131="","",Raw_Data!L131)</f>
        <v>Requesting a screening session closer to the northern shelter.</v>
      </c>
      <c r="M131" s="34" t="n">
        <f aca="false">IF(OR(B131="",K131=""),"",IFERROR(K131-B131,"CHECK"))</f>
        <v>7</v>
      </c>
      <c r="N131" s="34" t="n">
        <f aca="false">IFERROR(INDEX(Reference_Lists!$H$13:$H$14,MATCH(G131,Reference_Lists!$G$13:$G$14,0)),"UNMATCHED")</f>
        <v>15</v>
      </c>
      <c r="O131" s="35" t="b">
        <f aca="false">IF(AND(J131="Closed",ISNUMBER(M131),ISNUMBER(N131),M131&gt;=0),M131&lt;=N131,"NOT ASSESSED")</f>
        <v>1</v>
      </c>
      <c r="P131" s="36" t="str">
        <f aca="false">Raw_Data!A131</f>
        <v>CFM-2026-0098</v>
      </c>
      <c r="Q131" s="37" t="str">
        <f aca="false">IFERROR(IF(OR($A131="",$P131=""),"MISSING ID",IF(EXACT($A131,$P131),"ALIGNED","MISMATCH")),"CHECK")</f>
        <v>ALIGNED</v>
      </c>
    </row>
    <row r="132" customFormat="false" ht="19.5" hidden="false" customHeight="true" outlineLevel="0" collapsed="false">
      <c r="A132" s="29" t="s">
        <v>244</v>
      </c>
      <c r="B132" s="30" t="n">
        <f aca="false">IF(Raw_Data!B132="","",IF(ISTEXT(Raw_Data!B132),IFERROR(DATE(VALUE(RIGHT(TRIM(Raw_Data!B132),4)),VALUE(MID(TRIM(Raw_Data!B132),4,2)),VALUE(LEFT(TRIM(Raw_Data!B132),2))),"CHECK"),Raw_Data!B132))</f>
        <v>46203</v>
      </c>
      <c r="C132" s="31" t="str">
        <f aca="false">IFERROR(INDEX(Reference_Lists!$C$23:$C$35,MATCH(PROPER(TRIM(Raw_Data!C132)),Reference_Lists!$B$23:$B$35,0)),"UNMATCHED")</f>
        <v>Suggestion Box</v>
      </c>
      <c r="D132" s="31" t="str">
        <f aca="false">IFERROR(INDEX(Reference_Lists!$C$36:$C$50,MATCH(PROPER(TRIM(Raw_Data!D132)),Reference_Lists!$B$36:$B$50,0)),"UNMATCHED")</f>
        <v>Deir al-Balah</v>
      </c>
      <c r="E132" s="31" t="str">
        <f aca="false">IF(Raw_Data!E132="","",Raw_Data!E132)</f>
        <v>Nutrition</v>
      </c>
      <c r="F132" s="31" t="str">
        <f aca="false">IF(Raw_Data!F132="","",Raw_Data!F132)</f>
        <v>Suggestion</v>
      </c>
      <c r="G132" s="32" t="str">
        <f aca="false">IF(Raw_Data!G132="","",Raw_Data!G132)</f>
        <v>Non-Sensitive</v>
      </c>
      <c r="H132" s="32" t="str">
        <f aca="false">IFERROR(INDEX(Reference_Lists!$C$51:$C$57,MATCH(PROPER(TRIM(Raw_Data!H132)),Reference_Lists!$B$51:$B$57,0)),"UNMATCHED")</f>
        <v>Male</v>
      </c>
      <c r="I132" s="32" t="str">
        <f aca="false">IF(Raw_Data!I132="","",Raw_Data!I132)</f>
        <v>45-59</v>
      </c>
      <c r="J132" s="32" t="str">
        <f aca="false">IFERROR(INDEX(Reference_Lists!$C$58:$C$65,MATCH(PROPER(TRIM(Raw_Data!J132)),Reference_Lists!$B$58:$B$65,0)),"UNMATCHED")</f>
        <v>Open</v>
      </c>
      <c r="K132" s="30" t="str">
        <f aca="false">IF(Raw_Data!K132="","",IF(ISTEXT(Raw_Data!K132),IFERROR(DATE(VALUE(RIGHT(TRIM(Raw_Data!K132),4)),VALUE(MID(TRIM(Raw_Data!K132),4,2)),VALUE(LEFT(TRIM(Raw_Data!K132),2))),"CHECK"),Raw_Data!K132))</f>
        <v/>
      </c>
      <c r="L132" s="33" t="str">
        <f aca="false">IF(Raw_Data!L132="","",Raw_Data!L132)</f>
        <v>Supplement was received but the guidance sheet was in English only.</v>
      </c>
      <c r="M132" s="34" t="str">
        <f aca="false">IF(OR(B132="",K132=""),"",IFERROR(K132-B132,"CHECK"))</f>
        <v/>
      </c>
      <c r="N132" s="34" t="n">
        <f aca="false">IFERROR(INDEX(Reference_Lists!$H$13:$H$14,MATCH(G132,Reference_Lists!$G$13:$G$14,0)),"UNMATCHED")</f>
        <v>15</v>
      </c>
      <c r="O132" s="32" t="str">
        <f aca="false">IF(AND(J132="Closed",ISNUMBER(M132),ISNUMBER(N132),M132&gt;=0),M132&lt;=N132,"NOT ASSESSED")</f>
        <v>NOT ASSESSED</v>
      </c>
      <c r="P132" s="36" t="str">
        <f aca="false">Raw_Data!A132</f>
        <v>CFM-2026-0054</v>
      </c>
      <c r="Q132" s="37" t="str">
        <f aca="false">IFERROR(IF(OR($A132="",$P132=""),"MISSING ID",IF(EXACT($A132,$P132),"ALIGNED","MISMATCH")),"CHECK")</f>
        <v>ALIGNED</v>
      </c>
    </row>
    <row r="133" customFormat="false" ht="19.5" hidden="false" customHeight="true" outlineLevel="0" collapsed="false">
      <c r="A133" s="29" t="s">
        <v>245</v>
      </c>
      <c r="B133" s="30" t="n">
        <f aca="false">IF(Raw_Data!B133="","",IF(ISTEXT(Raw_Data!B133),IFERROR(DATE(VALUE(RIGHT(TRIM(Raw_Data!B133),4)),VALUE(MID(TRIM(Raw_Data!B133),4,2)),VALUE(LEFT(TRIM(Raw_Data!B133),2))),"CHECK"),Raw_Data!B133))</f>
        <v>46106</v>
      </c>
      <c r="C133" s="31" t="str">
        <f aca="false">IFERROR(INDEX(Reference_Lists!$C$23:$C$35,MATCH(PROPER(TRIM(Raw_Data!C133)),Reference_Lists!$B$23:$B$35,0)),"UNMATCHED")</f>
        <v>Community Focal Point</v>
      </c>
      <c r="D133" s="31" t="str">
        <f aca="false">IFERROR(INDEX(Reference_Lists!$C$36:$C$50,MATCH(PROPER(TRIM(Raw_Data!D133)),Reference_Lists!$B$36:$B$50,0)),"UNMATCHED")</f>
        <v>Nuseirat</v>
      </c>
      <c r="E133" s="31" t="str">
        <f aca="false">IF(Raw_Data!E133="","",Raw_Data!E133)</f>
        <v>Nutrition</v>
      </c>
      <c r="F133" s="31" t="str">
        <f aca="false">IF(Raw_Data!F133="","",Raw_Data!F133)</f>
        <v>Request for Information</v>
      </c>
      <c r="G133" s="32" t="str">
        <f aca="false">IF(Raw_Data!G133="","",Raw_Data!G133)</f>
        <v>Non-Sensitive</v>
      </c>
      <c r="H133" s="32" t="str">
        <f aca="false">IFERROR(INDEX(Reference_Lists!$C$51:$C$57,MATCH(PROPER(TRIM(Raw_Data!H133)),Reference_Lists!$B$51:$B$57,0)),"UNMATCHED")</f>
        <v>Male</v>
      </c>
      <c r="I133" s="32" t="str">
        <f aca="false">IF(Raw_Data!I133="","",Raw_Data!I133)</f>
        <v>30-44</v>
      </c>
      <c r="J133" s="32" t="str">
        <f aca="false">IFERROR(INDEX(Reference_Lists!$C$58:$C$65,MATCH(PROPER(TRIM(Raw_Data!J133)),Reference_Lists!$B$58:$B$65,0)),"UNMATCHED")</f>
        <v>Open</v>
      </c>
      <c r="K133" s="30" t="str">
        <f aca="false">IF(Raw_Data!K133="","",IF(ISTEXT(Raw_Data!K133),IFERROR(DATE(VALUE(RIGHT(TRIM(Raw_Data!K133),4)),VALUE(MID(TRIM(Raw_Data!K133),4,2)),VALUE(LEFT(TRIM(Raw_Data!K133),2))),"CHECK"),Raw_Data!K133))</f>
        <v/>
      </c>
      <c r="L133" s="33" t="str">
        <f aca="false">IF(Raw_Data!L133="","",Raw_Data!L133)</f>
        <v>Requesting a screening session closer to the northern shelter.</v>
      </c>
      <c r="M133" s="34" t="str">
        <f aca="false">IF(OR(B133="",K133=""),"",IFERROR(K133-B133,"CHECK"))</f>
        <v/>
      </c>
      <c r="N133" s="34" t="n">
        <f aca="false">IFERROR(INDEX(Reference_Lists!$H$13:$H$14,MATCH(G133,Reference_Lists!$G$13:$G$14,0)),"UNMATCHED")</f>
        <v>15</v>
      </c>
      <c r="O133" s="32" t="str">
        <f aca="false">IF(AND(J133="Closed",ISNUMBER(M133),ISNUMBER(N133),M133&gt;=0),M133&lt;=N133,"NOT ASSESSED")</f>
        <v>NOT ASSESSED</v>
      </c>
      <c r="P133" s="36" t="str">
        <f aca="false">Raw_Data!A133</f>
        <v>CFM-2026-0463</v>
      </c>
      <c r="Q133" s="37" t="str">
        <f aca="false">IFERROR(IF(OR($A133="",$P133=""),"MISSING ID",IF(EXACT($A133,$P133),"ALIGNED","MISMATCH")),"CHECK")</f>
        <v>ALIGNED</v>
      </c>
    </row>
    <row r="134" customFormat="false" ht="19.5" hidden="false" customHeight="true" outlineLevel="0" collapsed="false">
      <c r="A134" s="29" t="s">
        <v>246</v>
      </c>
      <c r="B134" s="30" t="n">
        <f aca="false">IF(Raw_Data!B134="","",IF(ISTEXT(Raw_Data!B134),IFERROR(DATE(VALUE(RIGHT(TRIM(Raw_Data!B134),4)),VALUE(MID(TRIM(Raw_Data!B134),4,2)),VALUE(LEFT(TRIM(Raw_Data!B134),2))),"CHECK"),Raw_Data!B134))</f>
        <v>46125</v>
      </c>
      <c r="C134" s="31" t="str">
        <f aca="false">IFERROR(INDEX(Reference_Lists!$C$23:$C$35,MATCH(PROPER(TRIM(Raw_Data!C134)),Reference_Lists!$B$23:$B$35,0)),"UNMATCHED")</f>
        <v>Community Focal Point</v>
      </c>
      <c r="D134" s="31" t="str">
        <f aca="false">IFERROR(INDEX(Reference_Lists!$C$36:$C$50,MATCH(PROPER(TRIM(Raw_Data!D134)),Reference_Lists!$B$36:$B$50,0)),"UNMATCHED")</f>
        <v>Rafah</v>
      </c>
      <c r="E134" s="31" t="str">
        <f aca="false">IF(Raw_Data!E134="","",Raw_Data!E134)</f>
        <v>WASH</v>
      </c>
      <c r="F134" s="31" t="str">
        <f aca="false">IF(Raw_Data!F134="","",Raw_Data!F134)</f>
        <v>Sensitive Complaint</v>
      </c>
      <c r="G134" s="32" t="str">
        <f aca="false">IF(Raw_Data!G134="","",Raw_Data!G134)</f>
        <v>Sensitive</v>
      </c>
      <c r="H134" s="32" t="str">
        <f aca="false">IFERROR(INDEX(Reference_Lists!$C$51:$C$57,MATCH(PROPER(TRIM(Raw_Data!H134)),Reference_Lists!$B$51:$B$57,0)),"UNMATCHED")</f>
        <v>Female</v>
      </c>
      <c r="I134" s="32" t="str">
        <f aca="false">IF(Raw_Data!I134="","",Raw_Data!I134)</f>
        <v>Under 18</v>
      </c>
      <c r="J134" s="32" t="str">
        <f aca="false">IFERROR(INDEX(Reference_Lists!$C$58:$C$65,MATCH(PROPER(TRIM(Raw_Data!J134)),Reference_Lists!$B$58:$B$65,0)),"UNMATCHED")</f>
        <v>Open</v>
      </c>
      <c r="K134" s="30" t="n">
        <f aca="false">IF(Raw_Data!K134="","",IF(ISTEXT(Raw_Data!K134),IFERROR(DATE(VALUE(RIGHT(TRIM(Raw_Data!K134),4)),VALUE(MID(TRIM(Raw_Data!K134),4,2)),VALUE(LEFT(TRIM(Raw_Data!K134),2))),"CHECK"),Raw_Data!K134))</f>
        <v>46138</v>
      </c>
      <c r="L134" s="33" t="str">
        <f aca="false">IF(Raw_Data!L134="","",Raw_Data!L134)</f>
        <v>Sensitive case - details recorded separately by the focal point; not stored in this tracker.</v>
      </c>
      <c r="M134" s="34" t="n">
        <f aca="false">IF(OR(B134="",K134=""),"",IFERROR(K134-B134,"CHECK"))</f>
        <v>13</v>
      </c>
      <c r="N134" s="34" t="n">
        <f aca="false">IFERROR(INDEX(Reference_Lists!$H$13:$H$14,MATCH(G134,Reference_Lists!$G$13:$G$14,0)),"UNMATCHED")</f>
        <v>3</v>
      </c>
      <c r="O134" s="32" t="str">
        <f aca="false">IF(AND(J134="Closed",ISNUMBER(M134),ISNUMBER(N134),M134&gt;=0),M134&lt;=N134,"NOT ASSESSED")</f>
        <v>NOT ASSESSED</v>
      </c>
      <c r="P134" s="36" t="str">
        <f aca="false">Raw_Data!A134</f>
        <v>CFM-2026-0408</v>
      </c>
      <c r="Q134" s="37" t="str">
        <f aca="false">IFERROR(IF(OR($A134="",$P134=""),"MISSING ID",IF(EXACT($A134,$P134),"ALIGNED","MISMATCH")),"CHECK")</f>
        <v>ALIGNED</v>
      </c>
    </row>
    <row r="135" customFormat="false" ht="19.5" hidden="false" customHeight="true" outlineLevel="0" collapsed="false">
      <c r="A135" s="29" t="s">
        <v>248</v>
      </c>
      <c r="B135" s="30" t="n">
        <f aca="false">IF(Raw_Data!B135="","",IF(ISTEXT(Raw_Data!B135),IFERROR(DATE(VALUE(RIGHT(TRIM(Raw_Data!B135),4)),VALUE(MID(TRIM(Raw_Data!B135),4,2)),VALUE(LEFT(TRIM(Raw_Data!B135),2))),"CHECK"),Raw_Data!B135))</f>
        <v>46186</v>
      </c>
      <c r="C135" s="31" t="str">
        <f aca="false">IFERROR(INDEX(Reference_Lists!$C$23:$C$35,MATCH(PROPER(TRIM(Raw_Data!C135)),Reference_Lists!$B$23:$B$35,0)),"UNMATCHED")</f>
        <v>Suggestion Box</v>
      </c>
      <c r="D135" s="31" t="str">
        <f aca="false">IFERROR(INDEX(Reference_Lists!$C$36:$C$50,MATCH(PROPER(TRIM(Raw_Data!D135)),Reference_Lists!$B$36:$B$50,0)),"UNMATCHED")</f>
        <v>Rafah</v>
      </c>
      <c r="E135" s="31" t="str">
        <f aca="false">IF(Raw_Data!E135="","",Raw_Data!E135)</f>
        <v>Health</v>
      </c>
      <c r="F135" s="31" t="str">
        <f aca="false">IF(Raw_Data!F135="","",Raw_Data!F135)</f>
        <v>Complaint</v>
      </c>
      <c r="G135" s="32" t="str">
        <f aca="false">IF(Raw_Data!G135="","",Raw_Data!G135)</f>
        <v>Non-Sensitive</v>
      </c>
      <c r="H135" s="32" t="str">
        <f aca="false">IFERROR(INDEX(Reference_Lists!$C$51:$C$57,MATCH(PROPER(TRIM(Raw_Data!H135)),Reference_Lists!$B$51:$B$57,0)),"UNMATCHED")</f>
        <v>Female</v>
      </c>
      <c r="I135" s="32" t="str">
        <f aca="false">IF(Raw_Data!I135="","",Raw_Data!I135)</f>
        <v>60+</v>
      </c>
      <c r="J135" s="32" t="str">
        <f aca="false">IFERROR(INDEX(Reference_Lists!$C$58:$C$65,MATCH(PROPER(TRIM(Raw_Data!J135)),Reference_Lists!$B$58:$B$65,0)),"UNMATCHED")</f>
        <v>In Progress</v>
      </c>
      <c r="K135" s="30" t="str">
        <f aca="false">IF(Raw_Data!K135="","",IF(ISTEXT(Raw_Data!K135),IFERROR(DATE(VALUE(RIGHT(TRIM(Raw_Data!K135),4)),VALUE(MID(TRIM(Raw_Data!K135),4,2)),VALUE(LEFT(TRIM(Raw_Data!K135),2))),"CHECK"),Raw_Data!K135))</f>
        <v/>
      </c>
      <c r="L135" s="33" t="str">
        <f aca="false">IF(Raw_Data!L135="","",Raw_Data!L135)</f>
        <v>Requesting a referral pathway for a family member with limited mobility.</v>
      </c>
      <c r="M135" s="34" t="str">
        <f aca="false">IF(OR(B135="",K135=""),"",IFERROR(K135-B135,"CHECK"))</f>
        <v/>
      </c>
      <c r="N135" s="34" t="n">
        <f aca="false">IFERROR(INDEX(Reference_Lists!$H$13:$H$14,MATCH(G135,Reference_Lists!$G$13:$G$14,0)),"UNMATCHED")</f>
        <v>15</v>
      </c>
      <c r="O135" s="32" t="str">
        <f aca="false">IF(AND(J135="Closed",ISNUMBER(M135),ISNUMBER(N135),M135&gt;=0),M135&lt;=N135,"NOT ASSESSED")</f>
        <v>NOT ASSESSED</v>
      </c>
      <c r="P135" s="36" t="str">
        <f aca="false">Raw_Data!A135</f>
        <v>CFM-2026-0323</v>
      </c>
      <c r="Q135" s="37" t="str">
        <f aca="false">IFERROR(IF(OR($A135="",$P135=""),"MISSING ID",IF(EXACT($A135,$P135),"ALIGNED","MISMATCH")),"CHECK")</f>
        <v>ALIGNED</v>
      </c>
    </row>
    <row r="136" customFormat="false" ht="19.5" hidden="false" customHeight="true" outlineLevel="0" collapsed="false">
      <c r="A136" s="29" t="s">
        <v>249</v>
      </c>
      <c r="B136" s="30" t="n">
        <f aca="false">IF(Raw_Data!B136="","",IF(ISTEXT(Raw_Data!B136),IFERROR(DATE(VALUE(RIGHT(TRIM(Raw_Data!B136),4)),VALUE(MID(TRIM(Raw_Data!B136),4,2)),VALUE(LEFT(TRIM(Raw_Data!B136),2))),"CHECK"),Raw_Data!B136))</f>
        <v>46051</v>
      </c>
      <c r="C136" s="31" t="str">
        <f aca="false">IFERROR(INDEX(Reference_Lists!$C$23:$C$35,MATCH(PROPER(TRIM(Raw_Data!C136)),Reference_Lists!$B$23:$B$35,0)),"UNMATCHED")</f>
        <v>Help Desk</v>
      </c>
      <c r="D136" s="31" t="str">
        <f aca="false">IFERROR(INDEX(Reference_Lists!$C$36:$C$50,MATCH(PROPER(TRIM(Raw_Data!D136)),Reference_Lists!$B$36:$B$50,0)),"UNMATCHED")</f>
        <v>Deir al-Balah</v>
      </c>
      <c r="E136" s="31" t="str">
        <f aca="false">IF(Raw_Data!E136="","",Raw_Data!E136)</f>
        <v>Shelter</v>
      </c>
      <c r="F136" s="31" t="str">
        <f aca="false">IF(Raw_Data!F136="","",Raw_Data!F136)</f>
        <v>Complaint</v>
      </c>
      <c r="G136" s="32" t="str">
        <f aca="false">IF(Raw_Data!G136="","",Raw_Data!G136)</f>
        <v>Non-Sensitive</v>
      </c>
      <c r="H136" s="32" t="str">
        <f aca="false">IFERROR(INDEX(Reference_Lists!$C$51:$C$57,MATCH(PROPER(TRIM(Raw_Data!H136)),Reference_Lists!$B$51:$B$57,0)),"UNMATCHED")</f>
        <v>Female</v>
      </c>
      <c r="I136" s="32" t="str">
        <f aca="false">IF(Raw_Data!I136="","",Raw_Data!I136)</f>
        <v>18-29</v>
      </c>
      <c r="J136" s="32" t="str">
        <f aca="false">IFERROR(INDEX(Reference_Lists!$C$58:$C$65,MATCH(PROPER(TRIM(Raw_Data!J136)),Reference_Lists!$B$58:$B$65,0)),"UNMATCHED")</f>
        <v>Open</v>
      </c>
      <c r="K136" s="30" t="str">
        <f aca="false">IF(Raw_Data!K136="","",IF(ISTEXT(Raw_Data!K136),IFERROR(DATE(VALUE(RIGHT(TRIM(Raw_Data!K136),4)),VALUE(MID(TRIM(Raw_Data!K136),4,2)),VALUE(LEFT(TRIM(Raw_Data!K136),2))),"CHECK"),Raw_Data!K136))</f>
        <v/>
      </c>
      <c r="L136" s="33" t="str">
        <f aca="false">IF(Raw_Data!L136="","",Raw_Data!L136)</f>
        <v>Tarpaulin received is torn and does not cover the shelter area.</v>
      </c>
      <c r="M136" s="34" t="str">
        <f aca="false">IF(OR(B136="",K136=""),"",IFERROR(K136-B136,"CHECK"))</f>
        <v/>
      </c>
      <c r="N136" s="34" t="n">
        <f aca="false">IFERROR(INDEX(Reference_Lists!$H$13:$H$14,MATCH(G136,Reference_Lists!$G$13:$G$14,0)),"UNMATCHED")</f>
        <v>15</v>
      </c>
      <c r="O136" s="32" t="str">
        <f aca="false">IF(AND(J136="Closed",ISNUMBER(M136),ISNUMBER(N136),M136&gt;=0),M136&lt;=N136,"NOT ASSESSED")</f>
        <v>NOT ASSESSED</v>
      </c>
      <c r="P136" s="36" t="str">
        <f aca="false">Raw_Data!A136</f>
        <v>CFM-2026-0477</v>
      </c>
      <c r="Q136" s="37" t="str">
        <f aca="false">IFERROR(IF(OR($A136="",$P136=""),"MISSING ID",IF(EXACT($A136,$P136),"ALIGNED","MISMATCH")),"CHECK")</f>
        <v>ALIGNED</v>
      </c>
    </row>
    <row r="137" customFormat="false" ht="19.5" hidden="false" customHeight="true" outlineLevel="0" collapsed="false">
      <c r="A137" s="29" t="s">
        <v>250</v>
      </c>
      <c r="B137" s="30" t="n">
        <f aca="false">IF(Raw_Data!B137="","",IF(ISTEXT(Raw_Data!B137),IFERROR(DATE(VALUE(RIGHT(TRIM(Raw_Data!B137),4)),VALUE(MID(TRIM(Raw_Data!B137),4,2)),VALUE(LEFT(TRIM(Raw_Data!B137),2))),"CHECK"),Raw_Data!B137))</f>
        <v>46209</v>
      </c>
      <c r="C137" s="31" t="str">
        <f aca="false">IFERROR(INDEX(Reference_Lists!$C$23:$C$35,MATCH(PROPER(TRIM(Raw_Data!C137)),Reference_Lists!$B$23:$B$35,0)),"UNMATCHED")</f>
        <v>Suggestion Box</v>
      </c>
      <c r="D137" s="31" t="str">
        <f aca="false">IFERROR(INDEX(Reference_Lists!$C$36:$C$50,MATCH(PROPER(TRIM(Raw_Data!D137)),Reference_Lists!$B$36:$B$50,0)),"UNMATCHED")</f>
        <v>Gaza City</v>
      </c>
      <c r="E137" s="31" t="str">
        <f aca="false">IF(Raw_Data!E137="","",Raw_Data!E137)</f>
        <v>Shelter</v>
      </c>
      <c r="F137" s="31" t="str">
        <f aca="false">IF(Raw_Data!F137="","",Raw_Data!F137)</f>
        <v>Complaint</v>
      </c>
      <c r="G137" s="32" t="str">
        <f aca="false">IF(Raw_Data!G137="","",Raw_Data!G137)</f>
        <v>Non-Sensitive</v>
      </c>
      <c r="H137" s="32" t="str">
        <f aca="false">IFERROR(INDEX(Reference_Lists!$C$51:$C$57,MATCH(PROPER(TRIM(Raw_Data!H137)),Reference_Lists!$B$51:$B$57,0)),"UNMATCHED")</f>
        <v>Male</v>
      </c>
      <c r="I137" s="32" t="str">
        <f aca="false">IF(Raw_Data!I137="","",Raw_Data!I137)</f>
        <v>45-59</v>
      </c>
      <c r="J137" s="32" t="str">
        <f aca="false">IFERROR(INDEX(Reference_Lists!$C$58:$C$65,MATCH(PROPER(TRIM(Raw_Data!J137)),Reference_Lists!$B$58:$B$65,0)),"UNMATCHED")</f>
        <v>Open</v>
      </c>
      <c r="K137" s="30" t="str">
        <f aca="false">IF(Raw_Data!K137="","",IF(ISTEXT(Raw_Data!K137),IFERROR(DATE(VALUE(RIGHT(TRIM(Raw_Data!K137),4)),VALUE(MID(TRIM(Raw_Data!K137),4,2)),VALUE(LEFT(TRIM(Raw_Data!K137),2))),"CHECK"),Raw_Data!K137))</f>
        <v/>
      </c>
      <c r="L137" s="33" t="str">
        <f aca="false">IF(Raw_Data!L137="","",Raw_Data!L137)</f>
        <v>Tarpaulin received is torn and does not cover the shelter area.</v>
      </c>
      <c r="M137" s="34" t="str">
        <f aca="false">IF(OR(B137="",K137=""),"",IFERROR(K137-B137,"CHECK"))</f>
        <v/>
      </c>
      <c r="N137" s="34" t="n">
        <f aca="false">IFERROR(INDEX(Reference_Lists!$H$13:$H$14,MATCH(G137,Reference_Lists!$G$13:$G$14,0)),"UNMATCHED")</f>
        <v>15</v>
      </c>
      <c r="O137" s="32" t="str">
        <f aca="false">IF(AND(J137="Closed",ISNUMBER(M137),ISNUMBER(N137),M137&gt;=0),M137&lt;=N137,"NOT ASSESSED")</f>
        <v>NOT ASSESSED</v>
      </c>
      <c r="P137" s="36" t="str">
        <f aca="false">Raw_Data!A137</f>
        <v>CFM-2026-0196</v>
      </c>
      <c r="Q137" s="37" t="str">
        <f aca="false">IFERROR(IF(OR($A137="",$P137=""),"MISSING ID",IF(EXACT($A137,$P137),"ALIGNED","MISMATCH")),"CHECK")</f>
        <v>ALIGNED</v>
      </c>
    </row>
    <row r="138" customFormat="false" ht="19.5" hidden="false" customHeight="true" outlineLevel="0" collapsed="false">
      <c r="A138" s="29" t="s">
        <v>251</v>
      </c>
      <c r="B138" s="30" t="n">
        <f aca="false">IF(Raw_Data!B138="","",IF(ISTEXT(Raw_Data!B138),IFERROR(DATE(VALUE(RIGHT(TRIM(Raw_Data!B138),4)),VALUE(MID(TRIM(Raw_Data!B138),4,2)),VALUE(LEFT(TRIM(Raw_Data!B138),2))),"CHECK"),Raw_Data!B138))</f>
        <v>46226</v>
      </c>
      <c r="C138" s="31" t="str">
        <f aca="false">IFERROR(INDEX(Reference_Lists!$C$23:$C$35,MATCH(PROPER(TRIM(Raw_Data!C138)),Reference_Lists!$B$23:$B$35,0)),"UNMATCHED")</f>
        <v>Community Focal Point</v>
      </c>
      <c r="D138" s="31" t="str">
        <f aca="false">IFERROR(INDEX(Reference_Lists!$C$36:$C$50,MATCH(PROPER(TRIM(Raw_Data!D138)),Reference_Lists!$B$36:$B$50,0)),"UNMATCHED")</f>
        <v>Deir al-Balah</v>
      </c>
      <c r="E138" s="31" t="str">
        <f aca="false">IF(Raw_Data!E138="","",Raw_Data!E138)</f>
        <v>Nutrition</v>
      </c>
      <c r="F138" s="31" t="str">
        <f aca="false">IF(Raw_Data!F138="","",Raw_Data!F138)</f>
        <v>Appreciation</v>
      </c>
      <c r="G138" s="32" t="str">
        <f aca="false">IF(Raw_Data!G138="","",Raw_Data!G138)</f>
        <v>Non-Sensitive</v>
      </c>
      <c r="H138" s="32" t="str">
        <f aca="false">IFERROR(INDEX(Reference_Lists!$C$51:$C$57,MATCH(PROPER(TRIM(Raw_Data!H138)),Reference_Lists!$B$51:$B$57,0)),"UNMATCHED")</f>
        <v>Female</v>
      </c>
      <c r="I138" s="32" t="str">
        <f aca="false">IF(Raw_Data!I138="","",Raw_Data!I138)</f>
        <v>45-59</v>
      </c>
      <c r="J138" s="32" t="str">
        <f aca="false">IFERROR(INDEX(Reference_Lists!$C$58:$C$65,MATCH(PROPER(TRIM(Raw_Data!J138)),Reference_Lists!$B$58:$B$65,0)),"UNMATCHED")</f>
        <v>Open</v>
      </c>
      <c r="K138" s="30" t="str">
        <f aca="false">IF(Raw_Data!K138="","",IF(ISTEXT(Raw_Data!K138),IFERROR(DATE(VALUE(RIGHT(TRIM(Raw_Data!K138),4)),VALUE(MID(TRIM(Raw_Data!K138),4,2)),VALUE(LEFT(TRIM(Raw_Data!K138),2))),"CHECK"),Raw_Data!K138))</f>
        <v/>
      </c>
      <c r="L138" s="33" t="str">
        <f aca="false">IF(Raw_Data!L138="","",Raw_Data!L138)</f>
        <v>Supplement was received but the guidance sheet was in English only.</v>
      </c>
      <c r="M138" s="34" t="str">
        <f aca="false">IF(OR(B138="",K138=""),"",IFERROR(K138-B138,"CHECK"))</f>
        <v/>
      </c>
      <c r="N138" s="34" t="n">
        <f aca="false">IFERROR(INDEX(Reference_Lists!$H$13:$H$14,MATCH(G138,Reference_Lists!$G$13:$G$14,0)),"UNMATCHED")</f>
        <v>15</v>
      </c>
      <c r="O138" s="32" t="str">
        <f aca="false">IF(AND(J138="Closed",ISNUMBER(M138),ISNUMBER(N138),M138&gt;=0),M138&lt;=N138,"NOT ASSESSED")</f>
        <v>NOT ASSESSED</v>
      </c>
      <c r="P138" s="36" t="str">
        <f aca="false">Raw_Data!A138</f>
        <v>CFM-2026-0194</v>
      </c>
      <c r="Q138" s="37" t="str">
        <f aca="false">IFERROR(IF(OR($A138="",$P138=""),"MISSING ID",IF(EXACT($A138,$P138),"ALIGNED","MISMATCH")),"CHECK")</f>
        <v>ALIGNED</v>
      </c>
    </row>
    <row r="139" customFormat="false" ht="19.5" hidden="false" customHeight="true" outlineLevel="0" collapsed="false">
      <c r="A139" s="29" t="s">
        <v>252</v>
      </c>
      <c r="B139" s="30" t="n">
        <f aca="false">IF(Raw_Data!B139="","",IF(ISTEXT(Raw_Data!B139),IFERROR(DATE(VALUE(RIGHT(TRIM(Raw_Data!B139),4)),VALUE(MID(TRIM(Raw_Data!B139),4,2)),VALUE(LEFT(TRIM(Raw_Data!B139),2))),"CHECK"),Raw_Data!B139))</f>
        <v>46077</v>
      </c>
      <c r="C139" s="31" t="str">
        <f aca="false">IFERROR(INDEX(Reference_Lists!$C$23:$C$35,MATCH(PROPER(TRIM(Raw_Data!C139)),Reference_Lists!$B$23:$B$35,0)),"UNMATCHED")</f>
        <v>Community Focal Point</v>
      </c>
      <c r="D139" s="31" t="str">
        <f aca="false">IFERROR(INDEX(Reference_Lists!$C$36:$C$50,MATCH(PROPER(TRIM(Raw_Data!D139)),Reference_Lists!$B$36:$B$50,0)),"UNMATCHED")</f>
        <v>Khan Yunis</v>
      </c>
      <c r="E139" s="31" t="str">
        <f aca="false">IF(Raw_Data!E139="","",Raw_Data!E139)</f>
        <v>Food Security</v>
      </c>
      <c r="F139" s="31" t="str">
        <f aca="false">IF(Raw_Data!F139="","",Raw_Data!F139)</f>
        <v>Request for Information</v>
      </c>
      <c r="G139" s="32" t="str">
        <f aca="false">IF(Raw_Data!G139="","",Raw_Data!G139)</f>
        <v>Non-Sensitive</v>
      </c>
      <c r="H139" s="32" t="str">
        <f aca="false">IFERROR(INDEX(Reference_Lists!$C$51:$C$57,MATCH(PROPER(TRIM(Raw_Data!H139)),Reference_Lists!$B$51:$B$57,0)),"UNMATCHED")</f>
        <v>Female</v>
      </c>
      <c r="I139" s="32" t="str">
        <f aca="false">IF(Raw_Data!I139="","",Raw_Data!I139)</f>
        <v>45-59</v>
      </c>
      <c r="J139" s="32" t="str">
        <f aca="false">IFERROR(INDEX(Reference_Lists!$C$58:$C$65,MATCH(PROPER(TRIM(Raw_Data!J139)),Reference_Lists!$B$58:$B$65,0)),"UNMATCHED")</f>
        <v>Closed</v>
      </c>
      <c r="K139" s="30" t="n">
        <f aca="false">IF(Raw_Data!K139="","",IF(ISTEXT(Raw_Data!K139),IFERROR(DATE(VALUE(RIGHT(TRIM(Raw_Data!K139),4)),VALUE(MID(TRIM(Raw_Data!K139),4,2)),VALUE(LEFT(TRIM(Raw_Data!K139),2))),"CHECK"),Raw_Data!K139))</f>
        <v>46092</v>
      </c>
      <c r="L139" s="33" t="str">
        <f aca="false">IF(Raw_Data!L139="","",Raw_Data!L139)</f>
        <v>Food parcel contents did not match the announced list.</v>
      </c>
      <c r="M139" s="34" t="n">
        <f aca="false">IF(OR(B139="",K139=""),"",IFERROR(K139-B139,"CHECK"))</f>
        <v>15</v>
      </c>
      <c r="N139" s="34" t="n">
        <f aca="false">IFERROR(INDEX(Reference_Lists!$H$13:$H$14,MATCH(G139,Reference_Lists!$G$13:$G$14,0)),"UNMATCHED")</f>
        <v>15</v>
      </c>
      <c r="O139" s="35" t="b">
        <f aca="false">IF(AND(J139="Closed",ISNUMBER(M139),ISNUMBER(N139),M139&gt;=0),M139&lt;=N139,"NOT ASSESSED")</f>
        <v>1</v>
      </c>
      <c r="P139" s="36" t="str">
        <f aca="false">Raw_Data!A139</f>
        <v>CFM-2026-0291</v>
      </c>
      <c r="Q139" s="37" t="str">
        <f aca="false">IFERROR(IF(OR($A139="",$P139=""),"MISSING ID",IF(EXACT($A139,$P139),"ALIGNED","MISMATCH")),"CHECK")</f>
        <v>ALIGNED</v>
      </c>
    </row>
    <row r="140" customFormat="false" ht="19.5" hidden="false" customHeight="true" outlineLevel="0" collapsed="false">
      <c r="A140" s="29" t="s">
        <v>253</v>
      </c>
      <c r="B140" s="30" t="n">
        <f aca="false">IF(Raw_Data!B140="","",IF(ISTEXT(Raw_Data!B140),IFERROR(DATE(VALUE(RIGHT(TRIM(Raw_Data!B140),4)),VALUE(MID(TRIM(Raw_Data!B140),4,2)),VALUE(LEFT(TRIM(Raw_Data!B140),2))),"CHECK"),Raw_Data!B140))</f>
        <v>46225</v>
      </c>
      <c r="C140" s="31" t="str">
        <f aca="false">IFERROR(INDEX(Reference_Lists!$C$23:$C$35,MATCH(PROPER(TRIM(Raw_Data!C140)),Reference_Lists!$B$23:$B$35,0)),"UNMATCHED")</f>
        <v>Help Desk</v>
      </c>
      <c r="D140" s="31" t="str">
        <f aca="false">IFERROR(INDEX(Reference_Lists!$C$36:$C$50,MATCH(PROPER(TRIM(Raw_Data!D140)),Reference_Lists!$B$36:$B$50,0)),"UNMATCHED")</f>
        <v>Nuseirat</v>
      </c>
      <c r="E140" s="31" t="str">
        <f aca="false">IF(Raw_Data!E140="","",Raw_Data!E140)</f>
        <v>Food Security</v>
      </c>
      <c r="F140" s="31" t="str">
        <f aca="false">IF(Raw_Data!F140="","",Raw_Data!F140)</f>
        <v>Request for Information</v>
      </c>
      <c r="G140" s="32" t="str">
        <f aca="false">IF(Raw_Data!G140="","",Raw_Data!G140)</f>
        <v>Non-Sensitive</v>
      </c>
      <c r="H140" s="32" t="str">
        <f aca="false">IFERROR(INDEX(Reference_Lists!$C$51:$C$57,MATCH(PROPER(TRIM(Raw_Data!H140)),Reference_Lists!$B$51:$B$57,0)),"UNMATCHED")</f>
        <v>Male</v>
      </c>
      <c r="I140" s="32" t="str">
        <f aca="false">IF(Raw_Data!I140="","",Raw_Data!I140)</f>
        <v>45-59</v>
      </c>
      <c r="J140" s="32" t="str">
        <f aca="false">IFERROR(INDEX(Reference_Lists!$C$58:$C$65,MATCH(PROPER(TRIM(Raw_Data!J140)),Reference_Lists!$B$58:$B$65,0)),"UNMATCHED")</f>
        <v>Closed</v>
      </c>
      <c r="K140" s="30" t="n">
        <f aca="false">IF(Raw_Data!K140="","",IF(ISTEXT(Raw_Data!K140),IFERROR(DATE(VALUE(RIGHT(TRIM(Raw_Data!K140),4)),VALUE(MID(TRIM(Raw_Data!K140),4,2)),VALUE(LEFT(TRIM(Raw_Data!K140),2))),"CHECK"),Raw_Data!K140))</f>
        <v>46233</v>
      </c>
      <c r="L140" s="33" t="str">
        <f aca="false">IF(Raw_Data!L140="","",Raw_Data!L140)</f>
        <v>Distribution point is far and transport cost is high for our family.</v>
      </c>
      <c r="M140" s="34" t="n">
        <f aca="false">IF(OR(B140="",K140=""),"",IFERROR(K140-B140,"CHECK"))</f>
        <v>8</v>
      </c>
      <c r="N140" s="34" t="n">
        <f aca="false">IFERROR(INDEX(Reference_Lists!$H$13:$H$14,MATCH(G140,Reference_Lists!$G$13:$G$14,0)),"UNMATCHED")</f>
        <v>15</v>
      </c>
      <c r="O140" s="35" t="b">
        <f aca="false">IF(AND(J140="Closed",ISNUMBER(M140),ISNUMBER(N140),M140&gt;=0),M140&lt;=N140,"NOT ASSESSED")</f>
        <v>1</v>
      </c>
      <c r="P140" s="36" t="str">
        <f aca="false">Raw_Data!A140</f>
        <v>CFM-2026-0339</v>
      </c>
      <c r="Q140" s="37" t="str">
        <f aca="false">IFERROR(IF(OR($A140="",$P140=""),"MISSING ID",IF(EXACT($A140,$P140),"ALIGNED","MISMATCH")),"CHECK")</f>
        <v>ALIGNED</v>
      </c>
    </row>
    <row r="141" customFormat="false" ht="19.5" hidden="false" customHeight="true" outlineLevel="0" collapsed="false">
      <c r="A141" s="29" t="s">
        <v>254</v>
      </c>
      <c r="B141" s="30" t="n">
        <f aca="false">IF(Raw_Data!B141="","",IF(ISTEXT(Raw_Data!B141),IFERROR(DATE(VALUE(RIGHT(TRIM(Raw_Data!B141),4)),VALUE(MID(TRIM(Raw_Data!B141),4,2)),VALUE(LEFT(TRIM(Raw_Data!B141),2))),"CHECK"),Raw_Data!B141))</f>
        <v>46163</v>
      </c>
      <c r="C141" s="31" t="str">
        <f aca="false">IFERROR(INDEX(Reference_Lists!$C$23:$C$35,MATCH(PROPER(TRIM(Raw_Data!C141)),Reference_Lists!$B$23:$B$35,0)),"UNMATCHED")</f>
        <v>Suggestion Box</v>
      </c>
      <c r="D141" s="31" t="str">
        <f aca="false">IFERROR(INDEX(Reference_Lists!$C$36:$C$50,MATCH(PROPER(TRIM(Raw_Data!D141)),Reference_Lists!$B$36:$B$50,0)),"UNMATCHED")</f>
        <v>Jabalia</v>
      </c>
      <c r="E141" s="31" t="str">
        <f aca="false">IF(Raw_Data!E141="","",Raw_Data!E141)</f>
        <v>Health</v>
      </c>
      <c r="F141" s="31" t="str">
        <f aca="false">IF(Raw_Data!F141="","",Raw_Data!F141)</f>
        <v>Complaint</v>
      </c>
      <c r="G141" s="32" t="str">
        <f aca="false">IF(Raw_Data!G141="","",Raw_Data!G141)</f>
        <v>Non-Sensitive</v>
      </c>
      <c r="H141" s="32" t="str">
        <f aca="false">IFERROR(INDEX(Reference_Lists!$C$51:$C$57,MATCH(PROPER(TRIM(Raw_Data!H141)),Reference_Lists!$B$51:$B$57,0)),"UNMATCHED")</f>
        <v>Female</v>
      </c>
      <c r="I141" s="32" t="str">
        <f aca="false">IF(Raw_Data!I141="","",Raw_Data!I141)</f>
        <v/>
      </c>
      <c r="J141" s="32" t="str">
        <f aca="false">IFERROR(INDEX(Reference_Lists!$C$58:$C$65,MATCH(PROPER(TRIM(Raw_Data!J141)),Reference_Lists!$B$58:$B$65,0)),"UNMATCHED")</f>
        <v>Closed</v>
      </c>
      <c r="K141" s="30" t="n">
        <f aca="false">IF(Raw_Data!K141="","",IF(ISTEXT(Raw_Data!K141),IFERROR(DATE(VALUE(RIGHT(TRIM(Raw_Data!K141),4)),VALUE(MID(TRIM(Raw_Data!K141),4,2)),VALUE(LEFT(TRIM(Raw_Data!K141),2))),"CHECK"),Raw_Data!K141))</f>
        <v>46181</v>
      </c>
      <c r="L141" s="33" t="str">
        <f aca="false">IF(Raw_Data!L141="","",Raw_Data!L141)</f>
        <v>Clinic opening hours are not clear to the community.</v>
      </c>
      <c r="M141" s="34" t="n">
        <f aca="false">IF(OR(B141="",K141=""),"",IFERROR(K141-B141,"CHECK"))</f>
        <v>18</v>
      </c>
      <c r="N141" s="34" t="n">
        <f aca="false">IFERROR(INDEX(Reference_Lists!$H$13:$H$14,MATCH(G141,Reference_Lists!$G$13:$G$14,0)),"UNMATCHED")</f>
        <v>15</v>
      </c>
      <c r="O141" s="35" t="b">
        <f aca="false">IF(AND(J141="Closed",ISNUMBER(M141),ISNUMBER(N141),M141&gt;=0),M141&lt;=N141,"NOT ASSESSED")</f>
        <v>0</v>
      </c>
      <c r="P141" s="36" t="str">
        <f aca="false">Raw_Data!A141</f>
        <v>CFM-2026-0225</v>
      </c>
      <c r="Q141" s="37" t="str">
        <f aca="false">IFERROR(IF(OR($A141="",$P141=""),"MISSING ID",IF(EXACT($A141,$P141),"ALIGNED","MISMATCH")),"CHECK")</f>
        <v>ALIGNED</v>
      </c>
    </row>
    <row r="142" customFormat="false" ht="19.5" hidden="false" customHeight="true" outlineLevel="0" collapsed="false">
      <c r="A142" s="29" t="s">
        <v>255</v>
      </c>
      <c r="B142" s="30" t="n">
        <f aca="false">IF(Raw_Data!B143="","",IF(ISTEXT(Raw_Data!B143),IFERROR(DATE(VALUE(RIGHT(TRIM(Raw_Data!B143),4)),VALUE(MID(TRIM(Raw_Data!B143),4,2)),VALUE(LEFT(TRIM(Raw_Data!B143),2))),"CHECK"),Raw_Data!B143))</f>
        <v>46099</v>
      </c>
      <c r="C142" s="31" t="str">
        <f aca="false">IFERROR(INDEX(Reference_Lists!$C$23:$C$35,MATCH(PROPER(TRIM(Raw_Data!C143)),Reference_Lists!$B$23:$B$35,0)),"UNMATCHED")</f>
        <v>Help Desk</v>
      </c>
      <c r="D142" s="31" t="str">
        <f aca="false">IFERROR(INDEX(Reference_Lists!$C$36:$C$50,MATCH(PROPER(TRIM(Raw_Data!D143)),Reference_Lists!$B$36:$B$50,0)),"UNMATCHED")</f>
        <v>Deir al-Balah</v>
      </c>
      <c r="E142" s="31" t="str">
        <f aca="false">IF(Raw_Data!E143="","",Raw_Data!E143)</f>
        <v>Nutrition</v>
      </c>
      <c r="F142" s="31" t="str">
        <f aca="false">IF(Raw_Data!F143="","",Raw_Data!F143)</f>
        <v>Suggestion</v>
      </c>
      <c r="G142" s="32" t="str">
        <f aca="false">IF(Raw_Data!G143="","",Raw_Data!G143)</f>
        <v>Non-Sensitive</v>
      </c>
      <c r="H142" s="32" t="str">
        <f aca="false">IFERROR(INDEX(Reference_Lists!$C$51:$C$57,MATCH(PROPER(TRIM(Raw_Data!H143)),Reference_Lists!$B$51:$B$57,0)),"UNMATCHED")</f>
        <v>Male</v>
      </c>
      <c r="I142" s="32" t="str">
        <f aca="false">IF(Raw_Data!I143="","",Raw_Data!I143)</f>
        <v>30-44</v>
      </c>
      <c r="J142" s="32" t="str">
        <f aca="false">IFERROR(INDEX(Reference_Lists!$C$58:$C$65,MATCH(PROPER(TRIM(Raw_Data!J143)),Reference_Lists!$B$58:$B$65,0)),"UNMATCHED")</f>
        <v>Open</v>
      </c>
      <c r="K142" s="30" t="str">
        <f aca="false">IF(Raw_Data!K143="","",IF(ISTEXT(Raw_Data!K143),IFERROR(DATE(VALUE(RIGHT(TRIM(Raw_Data!K143),4)),VALUE(MID(TRIM(Raw_Data!K143),4,2)),VALUE(LEFT(TRIM(Raw_Data!K143),2))),"CHECK"),Raw_Data!K143))</f>
        <v/>
      </c>
      <c r="L142" s="33" t="str">
        <f aca="false">IF(Raw_Data!L143="","",Raw_Data!L143)</f>
        <v>Asking whether children above five are included in the screening.</v>
      </c>
      <c r="M142" s="34" t="str">
        <f aca="false">IF(OR(B142="",K142=""),"",IFERROR(K142-B142,"CHECK"))</f>
        <v/>
      </c>
      <c r="N142" s="34" t="n">
        <f aca="false">IFERROR(INDEX(Reference_Lists!$H$13:$H$14,MATCH(G142,Reference_Lists!$G$13:$G$14,0)),"UNMATCHED")</f>
        <v>15</v>
      </c>
      <c r="O142" s="32" t="str">
        <f aca="false">IF(AND(J142="Closed",ISNUMBER(M142),ISNUMBER(N142),M142&gt;=0),M142&lt;=N142,"NOT ASSESSED")</f>
        <v>NOT ASSESSED</v>
      </c>
      <c r="P142" s="36" t="str">
        <f aca="false">Raw_Data!A143</f>
        <v>CFM-2026-0104</v>
      </c>
      <c r="Q142" s="37" t="str">
        <f aca="false">IFERROR(IF(OR($A142="",$P142=""),"MISSING ID",IF(EXACT($A142,$P142),"ALIGNED","MISMATCH")),"CHECK")</f>
        <v>ALIGNED</v>
      </c>
    </row>
    <row r="143" customFormat="false" ht="19.5" hidden="false" customHeight="true" outlineLevel="0" collapsed="false">
      <c r="A143" s="29" t="s">
        <v>256</v>
      </c>
      <c r="B143" s="30" t="n">
        <f aca="false">IF(Raw_Data!B144="","",IF(ISTEXT(Raw_Data!B144),IFERROR(DATE(VALUE(RIGHT(TRIM(Raw_Data!B144),4)),VALUE(MID(TRIM(Raw_Data!B144),4,2)),VALUE(LEFT(TRIM(Raw_Data!B144),2))),"CHECK"),Raw_Data!B144))</f>
        <v>46085</v>
      </c>
      <c r="C143" s="31" t="str">
        <f aca="false">IFERROR(INDEX(Reference_Lists!$C$23:$C$35,MATCH(PROPER(TRIM(Raw_Data!C144)),Reference_Lists!$B$23:$B$35,0)),"UNMATCHED")</f>
        <v>In-Person at Distribution</v>
      </c>
      <c r="D143" s="31" t="str">
        <f aca="false">IFERROR(INDEX(Reference_Lists!$C$36:$C$50,MATCH(PROPER(TRIM(Raw_Data!D144)),Reference_Lists!$B$36:$B$50,0)),"UNMATCHED")</f>
        <v>Nuseirat</v>
      </c>
      <c r="E143" s="31" t="str">
        <f aca="false">IF(Raw_Data!E144="","",Raw_Data!E144)</f>
        <v>Food Security</v>
      </c>
      <c r="F143" s="31" t="str">
        <f aca="false">IF(Raw_Data!F144="","",Raw_Data!F144)</f>
        <v>Complaint</v>
      </c>
      <c r="G143" s="32" t="str">
        <f aca="false">IF(Raw_Data!G144="","",Raw_Data!G144)</f>
        <v>Non-Sensitive</v>
      </c>
      <c r="H143" s="32" t="str">
        <f aca="false">IFERROR(INDEX(Reference_Lists!$C$51:$C$57,MATCH(PROPER(TRIM(Raw_Data!H144)),Reference_Lists!$B$51:$B$57,0)),"UNMATCHED")</f>
        <v>Male</v>
      </c>
      <c r="I143" s="32" t="str">
        <f aca="false">IF(Raw_Data!I144="","",Raw_Data!I144)</f>
        <v/>
      </c>
      <c r="J143" s="32" t="str">
        <f aca="false">IFERROR(INDEX(Reference_Lists!$C$58:$C$65,MATCH(PROPER(TRIM(Raw_Data!J144)),Reference_Lists!$B$58:$B$65,0)),"UNMATCHED")</f>
        <v>Closed</v>
      </c>
      <c r="K143" s="30" t="n">
        <f aca="false">IF(Raw_Data!K144="","",IF(ISTEXT(Raw_Data!K144),IFERROR(DATE(VALUE(RIGHT(TRIM(Raw_Data!K144),4)),VALUE(MID(TRIM(Raw_Data!K144),4,2)),VALUE(LEFT(TRIM(Raw_Data!K144),2))),"CHECK"),Raw_Data!K144))</f>
        <v>46095</v>
      </c>
      <c r="L143" s="33" t="str">
        <f aca="false">IF(Raw_Data!L144="","",Raw_Data!L144)</f>
        <v>Food parcel contents did not match the announced list.</v>
      </c>
      <c r="M143" s="34" t="n">
        <f aca="false">IF(OR(B143="",K143=""),"",IFERROR(K143-B143,"CHECK"))</f>
        <v>10</v>
      </c>
      <c r="N143" s="34" t="n">
        <f aca="false">IFERROR(INDEX(Reference_Lists!$H$13:$H$14,MATCH(G143,Reference_Lists!$G$13:$G$14,0)),"UNMATCHED")</f>
        <v>15</v>
      </c>
      <c r="O143" s="35" t="b">
        <f aca="false">IF(AND(J143="Closed",ISNUMBER(M143),ISNUMBER(N143),M143&gt;=0),M143&lt;=N143,"NOT ASSESSED")</f>
        <v>1</v>
      </c>
      <c r="P143" s="36" t="str">
        <f aca="false">Raw_Data!A144</f>
        <v>CFM-2026-0145</v>
      </c>
      <c r="Q143" s="37" t="str">
        <f aca="false">IFERROR(IF(OR($A143="",$P143=""),"MISSING ID",IF(EXACT($A143,$P143),"ALIGNED","MISMATCH")),"CHECK")</f>
        <v>ALIGNED</v>
      </c>
    </row>
    <row r="144" customFormat="false" ht="19.5" hidden="false" customHeight="true" outlineLevel="0" collapsed="false">
      <c r="A144" s="29" t="s">
        <v>257</v>
      </c>
      <c r="B144" s="30" t="n">
        <f aca="false">IF(Raw_Data!B145="","",IF(ISTEXT(Raw_Data!B145),IFERROR(DATE(VALUE(RIGHT(TRIM(Raw_Data!B145),4)),VALUE(MID(TRIM(Raw_Data!B145),4,2)),VALUE(LEFT(TRIM(Raw_Data!B145),2))),"CHECK"),Raw_Data!B145))</f>
        <v>46055</v>
      </c>
      <c r="C144" s="31" t="str">
        <f aca="false">IFERROR(INDEX(Reference_Lists!$C$23:$C$35,MATCH(PROPER(TRIM(Raw_Data!C145)),Reference_Lists!$B$23:$B$35,0)),"UNMATCHED")</f>
        <v>In-Person at Distribution</v>
      </c>
      <c r="D144" s="31" t="str">
        <f aca="false">IFERROR(INDEX(Reference_Lists!$C$36:$C$50,MATCH(PROPER(TRIM(Raw_Data!D145)),Reference_Lists!$B$36:$B$50,0)),"UNMATCHED")</f>
        <v>Gaza City</v>
      </c>
      <c r="E144" s="31" t="str">
        <f aca="false">IF(Raw_Data!E145="","",Raw_Data!E145)</f>
        <v>Health</v>
      </c>
      <c r="F144" s="31" t="str">
        <f aca="false">IF(Raw_Data!F145="","",Raw_Data!F145)</f>
        <v>Suggestion</v>
      </c>
      <c r="G144" s="32" t="str">
        <f aca="false">IF(Raw_Data!G145="","",Raw_Data!G145)</f>
        <v>Non-Sensitive</v>
      </c>
      <c r="H144" s="32" t="str">
        <f aca="false">IFERROR(INDEX(Reference_Lists!$C$51:$C$57,MATCH(PROPER(TRIM(Raw_Data!H145)),Reference_Lists!$B$51:$B$57,0)),"UNMATCHED")</f>
        <v>Male</v>
      </c>
      <c r="I144" s="32" t="str">
        <f aca="false">IF(Raw_Data!I145="","",Raw_Data!I145)</f>
        <v>45-59</v>
      </c>
      <c r="J144" s="32" t="str">
        <f aca="false">IFERROR(INDEX(Reference_Lists!$C$58:$C$65,MATCH(PROPER(TRIM(Raw_Data!J145)),Reference_Lists!$B$58:$B$65,0)),"UNMATCHED")</f>
        <v>Closed</v>
      </c>
      <c r="K144" s="30" t="n">
        <f aca="false">IF(Raw_Data!K145="","",IF(ISTEXT(Raw_Data!K145),IFERROR(DATE(VALUE(RIGHT(TRIM(Raw_Data!K145),4)),VALUE(MID(TRIM(Raw_Data!K145),4,2)),VALUE(LEFT(TRIM(Raw_Data!K145),2))),"CHECK"),Raw_Data!K145))</f>
        <v>46060</v>
      </c>
      <c r="L144" s="33" t="str">
        <f aca="false">IF(Raw_Data!L145="","",Raw_Data!L145)</f>
        <v>Waiting time at the mobile clinic is long during afternoon hours.</v>
      </c>
      <c r="M144" s="34" t="n">
        <f aca="false">IF(OR(B144="",K144=""),"",IFERROR(K144-B144,"CHECK"))</f>
        <v>5</v>
      </c>
      <c r="N144" s="34" t="n">
        <f aca="false">IFERROR(INDEX(Reference_Lists!$H$13:$H$14,MATCH(G144,Reference_Lists!$G$13:$G$14,0)),"UNMATCHED")</f>
        <v>15</v>
      </c>
      <c r="O144" s="35" t="b">
        <f aca="false">IF(AND(J144="Closed",ISNUMBER(M144),ISNUMBER(N144),M144&gt;=0),M144&lt;=N144,"NOT ASSESSED")</f>
        <v>1</v>
      </c>
      <c r="P144" s="36" t="str">
        <f aca="false">Raw_Data!A145</f>
        <v>CFM-2026-0453</v>
      </c>
      <c r="Q144" s="37" t="str">
        <f aca="false">IFERROR(IF(OR($A144="",$P144=""),"MISSING ID",IF(EXACT($A144,$P144),"ALIGNED","MISMATCH")),"CHECK")</f>
        <v>ALIGNED</v>
      </c>
    </row>
    <row r="145" customFormat="false" ht="19.5" hidden="false" customHeight="true" outlineLevel="0" collapsed="false">
      <c r="A145" s="29" t="s">
        <v>258</v>
      </c>
      <c r="B145" s="30" t="n">
        <f aca="false">IF(Raw_Data!B146="","",IF(ISTEXT(Raw_Data!B146),IFERROR(DATE(VALUE(RIGHT(TRIM(Raw_Data!B146),4)),VALUE(MID(TRIM(Raw_Data!B146),4,2)),VALUE(LEFT(TRIM(Raw_Data!B146),2))),"CHECK"),Raw_Data!B146))</f>
        <v>46198</v>
      </c>
      <c r="C145" s="31" t="str">
        <f aca="false">IFERROR(INDEX(Reference_Lists!$C$23:$C$35,MATCH(PROPER(TRIM(Raw_Data!C146)),Reference_Lists!$B$23:$B$35,0)),"UNMATCHED")</f>
        <v>Help Desk</v>
      </c>
      <c r="D145" s="31" t="str">
        <f aca="false">IFERROR(INDEX(Reference_Lists!$C$36:$C$50,MATCH(PROPER(TRIM(Raw_Data!D146)),Reference_Lists!$B$36:$B$50,0)),"UNMATCHED")</f>
        <v>Jabalia</v>
      </c>
      <c r="E145" s="31" t="str">
        <f aca="false">IF(Raw_Data!E146="","",Raw_Data!E146)</f>
        <v>Nutrition</v>
      </c>
      <c r="F145" s="31" t="str">
        <f aca="false">IF(Raw_Data!F146="","",Raw_Data!F146)</f>
        <v>Suggestion</v>
      </c>
      <c r="G145" s="32" t="str">
        <f aca="false">IF(Raw_Data!G146="","",Raw_Data!G146)</f>
        <v/>
      </c>
      <c r="H145" s="32" t="str">
        <f aca="false">IFERROR(INDEX(Reference_Lists!$C$51:$C$57,MATCH(PROPER(TRIM(Raw_Data!H146)),Reference_Lists!$B$51:$B$57,0)),"UNMATCHED")</f>
        <v>Male</v>
      </c>
      <c r="I145" s="32" t="str">
        <f aca="false">IF(Raw_Data!I146="","",Raw_Data!I146)</f>
        <v>18-29</v>
      </c>
      <c r="J145" s="32" t="str">
        <f aca="false">IFERROR(INDEX(Reference_Lists!$C$58:$C$65,MATCH(PROPER(TRIM(Raw_Data!J146)),Reference_Lists!$B$58:$B$65,0)),"UNMATCHED")</f>
        <v>Closed</v>
      </c>
      <c r="K145" s="30" t="n">
        <f aca="false">IF(Raw_Data!K146="","",IF(ISTEXT(Raw_Data!K146),IFERROR(DATE(VALUE(RIGHT(TRIM(Raw_Data!K146),4)),VALUE(MID(TRIM(Raw_Data!K146),4,2)),VALUE(LEFT(TRIM(Raw_Data!K146),2))),"CHECK"),Raw_Data!K146))</f>
        <v>46199</v>
      </c>
      <c r="L145" s="33" t="str">
        <f aca="false">IF(Raw_Data!L146="","",Raw_Data!L146)</f>
        <v>Asking whether children above five are included in the screening.</v>
      </c>
      <c r="M145" s="34" t="n">
        <f aca="false">IF(OR(B145="",K145=""),"",IFERROR(K145-B145,"CHECK"))</f>
        <v>1</v>
      </c>
      <c r="N145" s="34" t="str">
        <f aca="false">IFERROR(INDEX(Reference_Lists!$H$13:$H$14,MATCH(G145,Reference_Lists!$G$13:$G$14,0)),"UNMATCHED")</f>
        <v>UNMATCHED</v>
      </c>
      <c r="O145" s="32" t="str">
        <f aca="false">IF(AND(J145="Closed",ISNUMBER(M145),ISNUMBER(N145),M145&gt;=0),M145&lt;=N145,"NOT ASSESSED")</f>
        <v>NOT ASSESSED</v>
      </c>
      <c r="P145" s="36" t="str">
        <f aca="false">Raw_Data!A146</f>
        <v>CFM-2026-0478</v>
      </c>
      <c r="Q145" s="37" t="str">
        <f aca="false">IFERROR(IF(OR($A145="",$P145=""),"MISSING ID",IF(EXACT($A145,$P145),"ALIGNED","MISMATCH")),"CHECK")</f>
        <v>ALIGNED</v>
      </c>
    </row>
    <row r="146" customFormat="false" ht="19.5" hidden="false" customHeight="true" outlineLevel="0" collapsed="false">
      <c r="A146" s="29" t="s">
        <v>259</v>
      </c>
      <c r="B146" s="30" t="n">
        <f aca="false">IF(Raw_Data!B147="","",IF(ISTEXT(Raw_Data!B147),IFERROR(DATE(VALUE(RIGHT(TRIM(Raw_Data!B147),4)),VALUE(MID(TRIM(Raw_Data!B147),4,2)),VALUE(LEFT(TRIM(Raw_Data!B147),2))),"CHECK"),Raw_Data!B147))</f>
        <v>46221</v>
      </c>
      <c r="C146" s="31" t="str">
        <f aca="false">IFERROR(INDEX(Reference_Lists!$C$23:$C$35,MATCH(PROPER(TRIM(Raw_Data!C147)),Reference_Lists!$B$23:$B$35,0)),"UNMATCHED")</f>
        <v>Suggestion Box</v>
      </c>
      <c r="D146" s="31" t="str">
        <f aca="false">IFERROR(INDEX(Reference_Lists!$C$36:$C$50,MATCH(PROPER(TRIM(Raw_Data!D147)),Reference_Lists!$B$36:$B$50,0)),"UNMATCHED")</f>
        <v>Jabalia</v>
      </c>
      <c r="E146" s="31" t="str">
        <f aca="false">IF(Raw_Data!E147="","",Raw_Data!E147)</f>
        <v>WASH</v>
      </c>
      <c r="F146" s="31" t="str">
        <f aca="false">IF(Raw_Data!F147="","",Raw_Data!F147)</f>
        <v>Complaint</v>
      </c>
      <c r="G146" s="32" t="str">
        <f aca="false">IF(Raw_Data!G147="","",Raw_Data!G147)</f>
        <v>Non-Sensitive</v>
      </c>
      <c r="H146" s="32" t="str">
        <f aca="false">IFERROR(INDEX(Reference_Lists!$C$51:$C$57,MATCH(PROPER(TRIM(Raw_Data!H147)),Reference_Lists!$B$51:$B$57,0)),"UNMATCHED")</f>
        <v>Female</v>
      </c>
      <c r="I146" s="32" t="str">
        <f aca="false">IF(Raw_Data!I147="","",Raw_Data!I147)</f>
        <v>30-44</v>
      </c>
      <c r="J146" s="32" t="str">
        <f aca="false">IFERROR(INDEX(Reference_Lists!$C$58:$C$65,MATCH(PROPER(TRIM(Raw_Data!J147)),Reference_Lists!$B$58:$B$65,0)),"UNMATCHED")</f>
        <v>Open</v>
      </c>
      <c r="K146" s="30" t="str">
        <f aca="false">IF(Raw_Data!K147="","",IF(ISTEXT(Raw_Data!K147),IFERROR(DATE(VALUE(RIGHT(TRIM(Raw_Data!K147),4)),VALUE(MID(TRIM(Raw_Data!K147),4,2)),VALUE(LEFT(TRIM(Raw_Data!K147),2))),"CHECK"),Raw_Data!K147))</f>
        <v/>
      </c>
      <c r="L146" s="33" t="str">
        <f aca="false">IF(Raw_Data!L147="","",Raw_Data!L147)</f>
        <v>The queue at the water point is not organised and older people cannot wait.</v>
      </c>
      <c r="M146" s="34" t="str">
        <f aca="false">IF(OR(B146="",K146=""),"",IFERROR(K146-B146,"CHECK"))</f>
        <v/>
      </c>
      <c r="N146" s="34" t="n">
        <f aca="false">IFERROR(INDEX(Reference_Lists!$H$13:$H$14,MATCH(G146,Reference_Lists!$G$13:$G$14,0)),"UNMATCHED")</f>
        <v>15</v>
      </c>
      <c r="O146" s="32" t="str">
        <f aca="false">IF(AND(J146="Closed",ISNUMBER(M146),ISNUMBER(N146),M146&gt;=0),M146&lt;=N146,"NOT ASSESSED")</f>
        <v>NOT ASSESSED</v>
      </c>
      <c r="P146" s="36" t="str">
        <f aca="false">Raw_Data!A147</f>
        <v>CFM-2026-0361</v>
      </c>
      <c r="Q146" s="37" t="str">
        <f aca="false">IFERROR(IF(OR($A146="",$P146=""),"MISSING ID",IF(EXACT($A146,$P146),"ALIGNED","MISMATCH")),"CHECK")</f>
        <v>ALIGNED</v>
      </c>
    </row>
    <row r="147" customFormat="false" ht="19.5" hidden="false" customHeight="true" outlineLevel="0" collapsed="false">
      <c r="A147" s="29" t="s">
        <v>260</v>
      </c>
      <c r="B147" s="30" t="n">
        <f aca="false">IF(Raw_Data!B148="","",IF(ISTEXT(Raw_Data!B148),IFERROR(DATE(VALUE(RIGHT(TRIM(Raw_Data!B148),4)),VALUE(MID(TRIM(Raw_Data!B148),4,2)),VALUE(LEFT(TRIM(Raw_Data!B148),2))),"CHECK"),Raw_Data!B148))</f>
        <v>46162</v>
      </c>
      <c r="C147" s="31" t="str">
        <f aca="false">IFERROR(INDEX(Reference_Lists!$C$23:$C$35,MATCH(PROPER(TRIM(Raw_Data!C148)),Reference_Lists!$B$23:$B$35,0)),"UNMATCHED")</f>
        <v>Help Desk</v>
      </c>
      <c r="D147" s="31" t="str">
        <f aca="false">IFERROR(INDEX(Reference_Lists!$C$36:$C$50,MATCH(PROPER(TRIM(Raw_Data!D148)),Reference_Lists!$B$36:$B$50,0)),"UNMATCHED")</f>
        <v>Rafah</v>
      </c>
      <c r="E147" s="31" t="str">
        <f aca="false">IF(Raw_Data!E148="","",Raw_Data!E148)</f>
        <v>Food Security</v>
      </c>
      <c r="F147" s="31" t="str">
        <f aca="false">IF(Raw_Data!F148="","",Raw_Data!F148)</f>
        <v>Appreciation</v>
      </c>
      <c r="G147" s="32" t="str">
        <f aca="false">IF(Raw_Data!G148="","",Raw_Data!G148)</f>
        <v>Non-Sensitive</v>
      </c>
      <c r="H147" s="32" t="str">
        <f aca="false">IFERROR(INDEX(Reference_Lists!$C$51:$C$57,MATCH(PROPER(TRIM(Raw_Data!H148)),Reference_Lists!$B$51:$B$57,0)),"UNMATCHED")</f>
        <v>Female</v>
      </c>
      <c r="I147" s="32" t="str">
        <f aca="false">IF(Raw_Data!I148="","",Raw_Data!I148)</f>
        <v>45-59</v>
      </c>
      <c r="J147" s="32" t="str">
        <f aca="false">IFERROR(INDEX(Reference_Lists!$C$58:$C$65,MATCH(PROPER(TRIM(Raw_Data!J148)),Reference_Lists!$B$58:$B$65,0)),"UNMATCHED")</f>
        <v>Open</v>
      </c>
      <c r="K147" s="30" t="str">
        <f aca="false">IF(Raw_Data!K148="","",IF(ISTEXT(Raw_Data!K148),IFERROR(DATE(VALUE(RIGHT(TRIM(Raw_Data!K148),4)),VALUE(MID(TRIM(Raw_Data!K148),4,2)),VALUE(LEFT(TRIM(Raw_Data!K148),2))),"CHECK"),Raw_Data!K148))</f>
        <v/>
      </c>
      <c r="L147" s="33" t="str">
        <f aca="false">IF(Raw_Data!L148="","",Raw_Data!L148)</f>
        <v>Food parcel contents did not match the announced list.</v>
      </c>
      <c r="M147" s="34" t="str">
        <f aca="false">IF(OR(B147="",K147=""),"",IFERROR(K147-B147,"CHECK"))</f>
        <v/>
      </c>
      <c r="N147" s="34" t="n">
        <f aca="false">IFERROR(INDEX(Reference_Lists!$H$13:$H$14,MATCH(G147,Reference_Lists!$G$13:$G$14,0)),"UNMATCHED")</f>
        <v>15</v>
      </c>
      <c r="O147" s="32" t="str">
        <f aca="false">IF(AND(J147="Closed",ISNUMBER(M147),ISNUMBER(N147),M147&gt;=0),M147&lt;=N147,"NOT ASSESSED")</f>
        <v>NOT ASSESSED</v>
      </c>
      <c r="P147" s="36" t="str">
        <f aca="false">Raw_Data!A148</f>
        <v>CFM-2026-0289</v>
      </c>
      <c r="Q147" s="37" t="str">
        <f aca="false">IFERROR(IF(OR($A147="",$P147=""),"MISSING ID",IF(EXACT($A147,$P147),"ALIGNED","MISMATCH")),"CHECK")</f>
        <v>ALIGNED</v>
      </c>
    </row>
    <row r="148" customFormat="false" ht="19.5" hidden="false" customHeight="true" outlineLevel="0" collapsed="false">
      <c r="A148" s="29" t="s">
        <v>261</v>
      </c>
      <c r="B148" s="30" t="n">
        <f aca="false">IF(Raw_Data!B149="","",IF(ISTEXT(Raw_Data!B149),IFERROR(DATE(VALUE(RIGHT(TRIM(Raw_Data!B149),4)),VALUE(MID(TRIM(Raw_Data!B149),4,2)),VALUE(LEFT(TRIM(Raw_Data!B149),2))),"CHECK"),Raw_Data!B149))</f>
        <v>46083</v>
      </c>
      <c r="C148" s="31" t="str">
        <f aca="false">IFERROR(INDEX(Reference_Lists!$C$23:$C$35,MATCH(PROPER(TRIM(Raw_Data!C149)),Reference_Lists!$B$23:$B$35,0)),"UNMATCHED")</f>
        <v>Help Desk</v>
      </c>
      <c r="D148" s="31" t="str">
        <f aca="false">IFERROR(INDEX(Reference_Lists!$C$36:$C$50,MATCH(PROPER(TRIM(Raw_Data!D149)),Reference_Lists!$B$36:$B$50,0)),"UNMATCHED")</f>
        <v>Khan Yunis</v>
      </c>
      <c r="E148" s="31" t="str">
        <f aca="false">IF(Raw_Data!E149="","",Raw_Data!E149)</f>
        <v>Shelter</v>
      </c>
      <c r="F148" s="31" t="str">
        <f aca="false">IF(Raw_Data!F149="","",Raw_Data!F149)</f>
        <v>Sensitive Complaint</v>
      </c>
      <c r="G148" s="32" t="str">
        <f aca="false">IF(Raw_Data!G149="","",Raw_Data!G149)</f>
        <v>Sensitive</v>
      </c>
      <c r="H148" s="32" t="str">
        <f aca="false">IFERROR(INDEX(Reference_Lists!$C$51:$C$57,MATCH(PROPER(TRIM(Raw_Data!H149)),Reference_Lists!$B$51:$B$57,0)),"UNMATCHED")</f>
        <v>Female</v>
      </c>
      <c r="I148" s="32" t="str">
        <f aca="false">IF(Raw_Data!I149="","",Raw_Data!I149)</f>
        <v>Under 18</v>
      </c>
      <c r="J148" s="32" t="str">
        <f aca="false">IFERROR(INDEX(Reference_Lists!$C$58:$C$65,MATCH(PROPER(TRIM(Raw_Data!J149)),Reference_Lists!$B$58:$B$65,0)),"UNMATCHED")</f>
        <v>Closed</v>
      </c>
      <c r="K148" s="30" t="str">
        <f aca="false">IF(Raw_Data!K149="","",IF(ISTEXT(Raw_Data!K149),IFERROR(DATE(VALUE(RIGHT(TRIM(Raw_Data!K149),4)),VALUE(MID(TRIM(Raw_Data!K149),4,2)),VALUE(LEFT(TRIM(Raw_Data!K149),2))),"CHECK"),Raw_Data!K149))</f>
        <v/>
      </c>
      <c r="L148" s="33" t="str">
        <f aca="false">IF(Raw_Data!L149="","",Raw_Data!L149)</f>
        <v>Sensitive case - details recorded separately by the focal point; not stored in this tracker.</v>
      </c>
      <c r="M148" s="34" t="str">
        <f aca="false">IF(OR(B148="",K148=""),"",IFERROR(K148-B148,"CHECK"))</f>
        <v/>
      </c>
      <c r="N148" s="34" t="n">
        <f aca="false">IFERROR(INDEX(Reference_Lists!$H$13:$H$14,MATCH(G148,Reference_Lists!$G$13:$G$14,0)),"UNMATCHED")</f>
        <v>3</v>
      </c>
      <c r="O148" s="32" t="str">
        <f aca="false">IF(AND(J148="Closed",ISNUMBER(M148),ISNUMBER(N148),M148&gt;=0),M148&lt;=N148,"NOT ASSESSED")</f>
        <v>NOT ASSESSED</v>
      </c>
      <c r="P148" s="36" t="str">
        <f aca="false">Raw_Data!A149</f>
        <v>CFM-2026-0230</v>
      </c>
      <c r="Q148" s="37" t="str">
        <f aca="false">IFERROR(IF(OR($A148="",$P148=""),"MISSING ID",IF(EXACT($A148,$P148),"ALIGNED","MISMATCH")),"CHECK")</f>
        <v>ALIGNED</v>
      </c>
    </row>
    <row r="149" customFormat="false" ht="19.5" hidden="false" customHeight="true" outlineLevel="0" collapsed="false">
      <c r="A149" s="29" t="s">
        <v>262</v>
      </c>
      <c r="B149" s="30" t="n">
        <f aca="false">IF(Raw_Data!B151="","",IF(ISTEXT(Raw_Data!B151),IFERROR(DATE(VALUE(RIGHT(TRIM(Raw_Data!B151),4)),VALUE(MID(TRIM(Raw_Data!B151),4,2)),VALUE(LEFT(TRIM(Raw_Data!B151),2))),"CHECK"),Raw_Data!B151))</f>
        <v>46126</v>
      </c>
      <c r="C149" s="31" t="str">
        <f aca="false">IFERROR(INDEX(Reference_Lists!$C$23:$C$35,MATCH(PROPER(TRIM(Raw_Data!C151)),Reference_Lists!$B$23:$B$35,0)),"UNMATCHED")</f>
        <v>In-Person at Distribution</v>
      </c>
      <c r="D149" s="31" t="str">
        <f aca="false">IFERROR(INDEX(Reference_Lists!$C$36:$C$50,MATCH(PROPER(TRIM(Raw_Data!D151)),Reference_Lists!$B$36:$B$50,0)),"UNMATCHED")</f>
        <v>Deir al-Balah</v>
      </c>
      <c r="E149" s="31" t="str">
        <f aca="false">IF(Raw_Data!E151="","",Raw_Data!E151)</f>
        <v>Nutrition</v>
      </c>
      <c r="F149" s="31" t="str">
        <f aca="false">IF(Raw_Data!F151="","",Raw_Data!F151)</f>
        <v>Complaint</v>
      </c>
      <c r="G149" s="32" t="str">
        <f aca="false">IF(Raw_Data!G151="","",Raw_Data!G151)</f>
        <v>Non-Sensitive</v>
      </c>
      <c r="H149" s="32" t="str">
        <f aca="false">IFERROR(INDEX(Reference_Lists!$C$51:$C$57,MATCH(PROPER(TRIM(Raw_Data!H151)),Reference_Lists!$B$51:$B$57,0)),"UNMATCHED")</f>
        <v>Female</v>
      </c>
      <c r="I149" s="32" t="str">
        <f aca="false">IF(Raw_Data!I151="","",Raw_Data!I151)</f>
        <v>30-44</v>
      </c>
      <c r="J149" s="32" t="str">
        <f aca="false">IFERROR(INDEX(Reference_Lists!$C$58:$C$65,MATCH(PROPER(TRIM(Raw_Data!J151)),Reference_Lists!$B$58:$B$65,0)),"UNMATCHED")</f>
        <v>Open</v>
      </c>
      <c r="K149" s="30" t="str">
        <f aca="false">IF(Raw_Data!K151="","",IF(ISTEXT(Raw_Data!K151),IFERROR(DATE(VALUE(RIGHT(TRIM(Raw_Data!K151),4)),VALUE(MID(TRIM(Raw_Data!K151),4,2)),VALUE(LEFT(TRIM(Raw_Data!K151),2))),"CHECK"),Raw_Data!K151))</f>
        <v/>
      </c>
      <c r="L149" s="33" t="str">
        <f aca="false">IF(Raw_Data!L151="","",Raw_Data!L151)</f>
        <v>Asking whether children above five are included in the screening.</v>
      </c>
      <c r="M149" s="34" t="str">
        <f aca="false">IF(OR(B149="",K149=""),"",IFERROR(K149-B149,"CHECK"))</f>
        <v/>
      </c>
      <c r="N149" s="34" t="n">
        <f aca="false">IFERROR(INDEX(Reference_Lists!$H$13:$H$14,MATCH(G149,Reference_Lists!$G$13:$G$14,0)),"UNMATCHED")</f>
        <v>15</v>
      </c>
      <c r="O149" s="32" t="str">
        <f aca="false">IF(AND(J149="Closed",ISNUMBER(M149),ISNUMBER(N149),M149&gt;=0),M149&lt;=N149,"NOT ASSESSED")</f>
        <v>NOT ASSESSED</v>
      </c>
      <c r="P149" s="36" t="str">
        <f aca="false">Raw_Data!A151</f>
        <v>CFM-2026-0370</v>
      </c>
      <c r="Q149" s="37" t="str">
        <f aca="false">IFERROR(IF(OR($A149="",$P149=""),"MISSING ID",IF(EXACT($A149,$P149),"ALIGNED","MISMATCH")),"CHECK")</f>
        <v>ALIGNED</v>
      </c>
    </row>
    <row r="150" customFormat="false" ht="19.5" hidden="false" customHeight="true" outlineLevel="0" collapsed="false">
      <c r="A150" s="29" t="s">
        <v>263</v>
      </c>
      <c r="B150" s="30" t="n">
        <f aca="false">IF(Raw_Data!B152="","",IF(ISTEXT(Raw_Data!B152),IFERROR(DATE(VALUE(RIGHT(TRIM(Raw_Data!B152),4)),VALUE(MID(TRIM(Raw_Data!B152),4,2)),VALUE(LEFT(TRIM(Raw_Data!B152),2))),"CHECK"),Raw_Data!B152))</f>
        <v>46194</v>
      </c>
      <c r="C150" s="31" t="str">
        <f aca="false">IFERROR(INDEX(Reference_Lists!$C$23:$C$35,MATCH(PROPER(TRIM(Raw_Data!C152)),Reference_Lists!$B$23:$B$35,0)),"UNMATCHED")</f>
        <v>Phone Hotline</v>
      </c>
      <c r="D150" s="31" t="str">
        <f aca="false">IFERROR(INDEX(Reference_Lists!$C$36:$C$50,MATCH(PROPER(TRIM(Raw_Data!D152)),Reference_Lists!$B$36:$B$50,0)),"UNMATCHED")</f>
        <v>Nuseirat</v>
      </c>
      <c r="E150" s="31" t="str">
        <f aca="false">IF(Raw_Data!E152="","",Raw_Data!E152)</f>
        <v>Health</v>
      </c>
      <c r="F150" s="31" t="str">
        <f aca="false">IF(Raw_Data!F152="","",Raw_Data!F152)</f>
        <v>Suggestion</v>
      </c>
      <c r="G150" s="32" t="str">
        <f aca="false">IF(Raw_Data!G152="","",Raw_Data!G152)</f>
        <v>Non-Sensitive</v>
      </c>
      <c r="H150" s="32" t="str">
        <f aca="false">IFERROR(INDEX(Reference_Lists!$C$51:$C$57,MATCH(PROPER(TRIM(Raw_Data!H152)),Reference_Lists!$B$51:$B$57,0)),"UNMATCHED")</f>
        <v>Male</v>
      </c>
      <c r="I150" s="32" t="str">
        <f aca="false">IF(Raw_Data!I152="","",Raw_Data!I152)</f>
        <v>45-59</v>
      </c>
      <c r="J150" s="32" t="str">
        <f aca="false">IFERROR(INDEX(Reference_Lists!$C$58:$C$65,MATCH(PROPER(TRIM(Raw_Data!J152)),Reference_Lists!$B$58:$B$65,0)),"UNMATCHED")</f>
        <v>Closed</v>
      </c>
      <c r="K150" s="30" t="n">
        <f aca="false">IF(Raw_Data!K152="","",IF(ISTEXT(Raw_Data!K152),IFERROR(DATE(VALUE(RIGHT(TRIM(Raw_Data!K152),4)),VALUE(MID(TRIM(Raw_Data!K152),4,2)),VALUE(LEFT(TRIM(Raw_Data!K152),2))),"CHECK"),Raw_Data!K152))</f>
        <v>46191</v>
      </c>
      <c r="L150" s="33" t="str">
        <f aca="false">IF(Raw_Data!L152="","",Raw_Data!L152)</f>
        <v>Waiting time at the mobile clinic is long during afternoon hours.</v>
      </c>
      <c r="M150" s="34" t="n">
        <f aca="false">IF(OR(B150="",K150=""),"",IFERROR(K150-B150,"CHECK"))</f>
        <v>-3</v>
      </c>
      <c r="N150" s="34" t="n">
        <f aca="false">IFERROR(INDEX(Reference_Lists!$H$13:$H$14,MATCH(G150,Reference_Lists!$G$13:$G$14,0)),"UNMATCHED")</f>
        <v>15</v>
      </c>
      <c r="O150" s="32" t="str">
        <f aca="false">IF(AND(J150="Closed",ISNUMBER(M150),ISNUMBER(N150),M150&gt;=0),M150&lt;=N150,"NOT ASSESSED")</f>
        <v>NOT ASSESSED</v>
      </c>
      <c r="P150" s="36" t="str">
        <f aca="false">Raw_Data!A152</f>
        <v>CFM-2026-0337</v>
      </c>
      <c r="Q150" s="37" t="str">
        <f aca="false">IFERROR(IF(OR($A150="",$P150=""),"MISSING ID",IF(EXACT($A150,$P150),"ALIGNED","MISMATCH")),"CHECK")</f>
        <v>ALIGNED</v>
      </c>
    </row>
    <row r="151" customFormat="false" ht="19.5" hidden="false" customHeight="true" outlineLevel="0" collapsed="false">
      <c r="A151" s="29" t="s">
        <v>264</v>
      </c>
      <c r="B151" s="30" t="n">
        <f aca="false">IF(Raw_Data!B153="","",IF(ISTEXT(Raw_Data!B153),IFERROR(DATE(VALUE(RIGHT(TRIM(Raw_Data!B153),4)),VALUE(MID(TRIM(Raw_Data!B153),4,2)),VALUE(LEFT(TRIM(Raw_Data!B153),2))),"CHECK"),Raw_Data!B153))</f>
        <v>46097</v>
      </c>
      <c r="C151" s="31" t="str">
        <f aca="false">IFERROR(INDEX(Reference_Lists!$C$23:$C$35,MATCH(PROPER(TRIM(Raw_Data!C153)),Reference_Lists!$B$23:$B$35,0)),"UNMATCHED")</f>
        <v>In-Person at Distribution</v>
      </c>
      <c r="D151" s="31" t="str">
        <f aca="false">IFERROR(INDEX(Reference_Lists!$C$36:$C$50,MATCH(PROPER(TRIM(Raw_Data!D153)),Reference_Lists!$B$36:$B$50,0)),"UNMATCHED")</f>
        <v>Nuseirat</v>
      </c>
      <c r="E151" s="31" t="str">
        <f aca="false">IF(Raw_Data!E153="","",Raw_Data!E153)</f>
        <v/>
      </c>
      <c r="F151" s="31" t="str">
        <f aca="false">IF(Raw_Data!F153="","",Raw_Data!F153)</f>
        <v>Appreciation</v>
      </c>
      <c r="G151" s="32" t="str">
        <f aca="false">IF(Raw_Data!G153="","",Raw_Data!G153)</f>
        <v/>
      </c>
      <c r="H151" s="32" t="str">
        <f aca="false">IFERROR(INDEX(Reference_Lists!$C$51:$C$57,MATCH(PROPER(TRIM(Raw_Data!H153)),Reference_Lists!$B$51:$B$57,0)),"UNMATCHED")</f>
        <v>Male</v>
      </c>
      <c r="I151" s="32" t="str">
        <f aca="false">IF(Raw_Data!I153="","",Raw_Data!I153)</f>
        <v>45-59</v>
      </c>
      <c r="J151" s="32" t="str">
        <f aca="false">IFERROR(INDEX(Reference_Lists!$C$58:$C$65,MATCH(PROPER(TRIM(Raw_Data!J153)),Reference_Lists!$B$58:$B$65,0)),"UNMATCHED")</f>
        <v>Closed</v>
      </c>
      <c r="K151" s="30" t="n">
        <f aca="false">IF(Raw_Data!K153="","",IF(ISTEXT(Raw_Data!K153),IFERROR(DATE(VALUE(RIGHT(TRIM(Raw_Data!K153),4)),VALUE(MID(TRIM(Raw_Data!K153),4,2)),VALUE(LEFT(TRIM(Raw_Data!K153),2))),"CHECK"),Raw_Data!K153))</f>
        <v>46100</v>
      </c>
      <c r="L151" s="33" t="str">
        <f aca="false">IF(Raw_Data!L153="","",Raw_Data!L153)</f>
        <v>Waiting time at the mobile clinic is long during afternoon hours.</v>
      </c>
      <c r="M151" s="34" t="n">
        <f aca="false">IF(OR(B151="",K151=""),"",IFERROR(K151-B151,"CHECK"))</f>
        <v>3</v>
      </c>
      <c r="N151" s="34" t="str">
        <f aca="false">IFERROR(INDEX(Reference_Lists!$H$13:$H$14,MATCH(G151,Reference_Lists!$G$13:$G$14,0)),"UNMATCHED")</f>
        <v>UNMATCHED</v>
      </c>
      <c r="O151" s="32" t="str">
        <f aca="false">IF(AND(J151="Closed",ISNUMBER(M151),ISNUMBER(N151),M151&gt;=0),M151&lt;=N151,"NOT ASSESSED")</f>
        <v>NOT ASSESSED</v>
      </c>
      <c r="P151" s="36" t="str">
        <f aca="false">Raw_Data!A153</f>
        <v>CFM-2026-0163</v>
      </c>
      <c r="Q151" s="37" t="str">
        <f aca="false">IFERROR(IF(OR($A151="",$P151=""),"MISSING ID",IF(EXACT($A151,$P151),"ALIGNED","MISMATCH")),"CHECK")</f>
        <v>ALIGNED</v>
      </c>
    </row>
    <row r="152" customFormat="false" ht="19.5" hidden="false" customHeight="true" outlineLevel="0" collapsed="false">
      <c r="A152" s="29" t="s">
        <v>265</v>
      </c>
      <c r="B152" s="30" t="n">
        <f aca="false">IF(Raw_Data!B154="","",IF(ISTEXT(Raw_Data!B154),IFERROR(DATE(VALUE(RIGHT(TRIM(Raw_Data!B154),4)),VALUE(MID(TRIM(Raw_Data!B154),4,2)),VALUE(LEFT(TRIM(Raw_Data!B154),2))),"CHECK"),Raw_Data!B154))</f>
        <v>46165</v>
      </c>
      <c r="C152" s="31" t="str">
        <f aca="false">IFERROR(INDEX(Reference_Lists!$C$23:$C$35,MATCH(PROPER(TRIM(Raw_Data!C154)),Reference_Lists!$B$23:$B$35,0)),"UNMATCHED")</f>
        <v>In-Person at Distribution</v>
      </c>
      <c r="D152" s="31" t="str">
        <f aca="false">IFERROR(INDEX(Reference_Lists!$C$36:$C$50,MATCH(PROPER(TRIM(Raw_Data!D154)),Reference_Lists!$B$36:$B$50,0)),"UNMATCHED")</f>
        <v>Khan Yunis</v>
      </c>
      <c r="E152" s="31" t="str">
        <f aca="false">IF(Raw_Data!E154="","",Raw_Data!E154)</f>
        <v>WASH</v>
      </c>
      <c r="F152" s="31" t="str">
        <f aca="false">IF(Raw_Data!F154="","",Raw_Data!F154)</f>
        <v>Complaint</v>
      </c>
      <c r="G152" s="32" t="str">
        <f aca="false">IF(Raw_Data!G154="","",Raw_Data!G154)</f>
        <v>Non-Sensitive</v>
      </c>
      <c r="H152" s="32" t="str">
        <f aca="false">IFERROR(INDEX(Reference_Lists!$C$51:$C$57,MATCH(PROPER(TRIM(Raw_Data!H154)),Reference_Lists!$B$51:$B$57,0)),"UNMATCHED")</f>
        <v>Female</v>
      </c>
      <c r="I152" s="32" t="str">
        <f aca="false">IF(Raw_Data!I154="","",Raw_Data!I154)</f>
        <v>30-44</v>
      </c>
      <c r="J152" s="32" t="str">
        <f aca="false">IFERROR(INDEX(Reference_Lists!$C$58:$C$65,MATCH(PROPER(TRIM(Raw_Data!J154)),Reference_Lists!$B$58:$B$65,0)),"UNMATCHED")</f>
        <v>Open</v>
      </c>
      <c r="K152" s="30" t="str">
        <f aca="false">IF(Raw_Data!K154="","",IF(ISTEXT(Raw_Data!K154),IFERROR(DATE(VALUE(RIGHT(TRIM(Raw_Data!K154),4)),VALUE(MID(TRIM(Raw_Data!K154),4,2)),VALUE(LEFT(TRIM(Raw_Data!K154),2))),"CHECK"),Raw_Data!K154))</f>
        <v/>
      </c>
      <c r="L152" s="33" t="str">
        <f aca="false">IF(Raw_Data!L154="","",Raw_Data!L154)</f>
        <v>Requesting additional jerrycans for a shared shelter of four families.</v>
      </c>
      <c r="M152" s="34" t="str">
        <f aca="false">IF(OR(B152="",K152=""),"",IFERROR(K152-B152,"CHECK"))</f>
        <v/>
      </c>
      <c r="N152" s="34" t="n">
        <f aca="false">IFERROR(INDEX(Reference_Lists!$H$13:$H$14,MATCH(G152,Reference_Lists!$G$13:$G$14,0)),"UNMATCHED")</f>
        <v>15</v>
      </c>
      <c r="O152" s="32" t="str">
        <f aca="false">IF(AND(J152="Closed",ISNUMBER(M152),ISNUMBER(N152),M152&gt;=0),M152&lt;=N152,"NOT ASSESSED")</f>
        <v>NOT ASSESSED</v>
      </c>
      <c r="P152" s="36" t="str">
        <f aca="false">Raw_Data!A154</f>
        <v>CFM-2026-0328</v>
      </c>
      <c r="Q152" s="37" t="str">
        <f aca="false">IFERROR(IF(OR($A152="",$P152=""),"MISSING ID",IF(EXACT($A152,$P152),"ALIGNED","MISMATCH")),"CHECK")</f>
        <v>ALIGNED</v>
      </c>
    </row>
    <row r="153" customFormat="false" ht="19.5" hidden="false" customHeight="true" outlineLevel="0" collapsed="false">
      <c r="A153" s="29" t="s">
        <v>267</v>
      </c>
      <c r="B153" s="30" t="n">
        <f aca="false">IF(Raw_Data!B155="","",IF(ISTEXT(Raw_Data!B155),IFERROR(DATE(VALUE(RIGHT(TRIM(Raw_Data!B155),4)),VALUE(MID(TRIM(Raw_Data!B155),4,2)),VALUE(LEFT(TRIM(Raw_Data!B155),2))),"CHECK"),Raw_Data!B155))</f>
        <v>46129</v>
      </c>
      <c r="C153" s="31" t="str">
        <f aca="false">IFERROR(INDEX(Reference_Lists!$C$23:$C$35,MATCH(PROPER(TRIM(Raw_Data!C155)),Reference_Lists!$B$23:$B$35,0)),"UNMATCHED")</f>
        <v>Suggestion Box</v>
      </c>
      <c r="D153" s="31" t="str">
        <f aca="false">IFERROR(INDEX(Reference_Lists!$C$36:$C$50,MATCH(PROPER(TRIM(Raw_Data!D155)),Reference_Lists!$B$36:$B$50,0)),"UNMATCHED")</f>
        <v>Rafah</v>
      </c>
      <c r="E153" s="31" t="str">
        <f aca="false">IF(Raw_Data!E155="","",Raw_Data!E155)</f>
        <v>WASH</v>
      </c>
      <c r="F153" s="31" t="str">
        <f aca="false">IF(Raw_Data!F155="","",Raw_Data!F155)</f>
        <v>Request for Information</v>
      </c>
      <c r="G153" s="32" t="str">
        <f aca="false">IF(Raw_Data!G155="","",Raw_Data!G155)</f>
        <v>Non-Sensitive</v>
      </c>
      <c r="H153" s="32" t="str">
        <f aca="false">IFERROR(INDEX(Reference_Lists!$C$51:$C$57,MATCH(PROPER(TRIM(Raw_Data!H155)),Reference_Lists!$B$51:$B$57,0)),"UNMATCHED")</f>
        <v>Male</v>
      </c>
      <c r="I153" s="32" t="str">
        <f aca="false">IF(Raw_Data!I155="","",Raw_Data!I155)</f>
        <v>30-44</v>
      </c>
      <c r="J153" s="32" t="str">
        <f aca="false">IFERROR(INDEX(Reference_Lists!$C$58:$C$65,MATCH(PROPER(TRIM(Raw_Data!J155)),Reference_Lists!$B$58:$B$65,0)),"UNMATCHED")</f>
        <v>Closed</v>
      </c>
      <c r="K153" s="30" t="n">
        <f aca="false">IF(Raw_Data!K155="","",IF(ISTEXT(Raw_Data!K155),IFERROR(DATE(VALUE(RIGHT(TRIM(Raw_Data!K155),4)),VALUE(MID(TRIM(Raw_Data!K155),4,2)),VALUE(LEFT(TRIM(Raw_Data!K155),2))),"CHECK"),Raw_Data!K155))</f>
        <v>46157</v>
      </c>
      <c r="L153" s="33" t="str">
        <f aca="false">IF(Raw_Data!L155="","",Raw_Data!L155)</f>
        <v>The queue at the water point is not organised and older people cannot wait.</v>
      </c>
      <c r="M153" s="34" t="n">
        <f aca="false">IF(OR(B153="",K153=""),"",IFERROR(K153-B153,"CHECK"))</f>
        <v>28</v>
      </c>
      <c r="N153" s="34" t="n">
        <f aca="false">IFERROR(INDEX(Reference_Lists!$H$13:$H$14,MATCH(G153,Reference_Lists!$G$13:$G$14,0)),"UNMATCHED")</f>
        <v>15</v>
      </c>
      <c r="O153" s="35" t="b">
        <f aca="false">IF(AND(J153="Closed",ISNUMBER(M153),ISNUMBER(N153),M153&gt;=0),M153&lt;=N153,"NOT ASSESSED")</f>
        <v>0</v>
      </c>
      <c r="P153" s="36" t="str">
        <f aca="false">Raw_Data!A155</f>
        <v>CFM-2026-0121</v>
      </c>
      <c r="Q153" s="37" t="str">
        <f aca="false">IFERROR(IF(OR($A153="",$P153=""),"MISSING ID",IF(EXACT($A153,$P153),"ALIGNED","MISMATCH")),"CHECK")</f>
        <v>ALIGNED</v>
      </c>
    </row>
    <row r="154" customFormat="false" ht="19.5" hidden="false" customHeight="true" outlineLevel="0" collapsed="false">
      <c r="A154" s="29" t="s">
        <v>269</v>
      </c>
      <c r="B154" s="30" t="n">
        <f aca="false">IF(Raw_Data!B156="","",IF(ISTEXT(Raw_Data!B156),IFERROR(DATE(VALUE(RIGHT(TRIM(Raw_Data!B156),4)),VALUE(MID(TRIM(Raw_Data!B156),4,2)),VALUE(LEFT(TRIM(Raw_Data!B156),2))),"CHECK"),Raw_Data!B156))</f>
        <v>46069</v>
      </c>
      <c r="C154" s="31" t="str">
        <f aca="false">IFERROR(INDEX(Reference_Lists!$C$23:$C$35,MATCH(PROPER(TRIM(Raw_Data!C156)),Reference_Lists!$B$23:$B$35,0)),"UNMATCHED")</f>
        <v>Phone Hotline</v>
      </c>
      <c r="D154" s="31" t="str">
        <f aca="false">IFERROR(INDEX(Reference_Lists!$C$36:$C$50,MATCH(PROPER(TRIM(Raw_Data!D156)),Reference_Lists!$B$36:$B$50,0)),"UNMATCHED")</f>
        <v>Nuseirat</v>
      </c>
      <c r="E154" s="31" t="str">
        <f aca="false">IF(Raw_Data!E156="","",Raw_Data!E156)</f>
        <v>Nutrition</v>
      </c>
      <c r="F154" s="31" t="str">
        <f aca="false">IF(Raw_Data!F156="","",Raw_Data!F156)</f>
        <v>Complaint</v>
      </c>
      <c r="G154" s="32" t="str">
        <f aca="false">IF(Raw_Data!G156="","",Raw_Data!G156)</f>
        <v>Non-Sensitive</v>
      </c>
      <c r="H154" s="32" t="str">
        <f aca="false">IFERROR(INDEX(Reference_Lists!$C$51:$C$57,MATCH(PROPER(TRIM(Raw_Data!H156)),Reference_Lists!$B$51:$B$57,0)),"UNMATCHED")</f>
        <v>Male</v>
      </c>
      <c r="I154" s="32" t="str">
        <f aca="false">IF(Raw_Data!I156="","",Raw_Data!I156)</f>
        <v>Under 18</v>
      </c>
      <c r="J154" s="32" t="str">
        <f aca="false">IFERROR(INDEX(Reference_Lists!$C$58:$C$65,MATCH(PROPER(TRIM(Raw_Data!J156)),Reference_Lists!$B$58:$B$65,0)),"UNMATCHED")</f>
        <v>Closed</v>
      </c>
      <c r="K154" s="30" t="n">
        <f aca="false">IF(Raw_Data!K156="","",IF(ISTEXT(Raw_Data!K156),IFERROR(DATE(VALUE(RIGHT(TRIM(Raw_Data!K156),4)),VALUE(MID(TRIM(Raw_Data!K156),4,2)),VALUE(LEFT(TRIM(Raw_Data!K156),2))),"CHECK"),Raw_Data!K156))</f>
        <v>46074</v>
      </c>
      <c r="L154" s="33" t="str">
        <f aca="false">IF(Raw_Data!L156="","",Raw_Data!L156)</f>
        <v>Requesting a screening session closer to the northern shelter.</v>
      </c>
      <c r="M154" s="34" t="n">
        <f aca="false">IF(OR(B154="",K154=""),"",IFERROR(K154-B154,"CHECK"))</f>
        <v>5</v>
      </c>
      <c r="N154" s="34" t="n">
        <f aca="false">IFERROR(INDEX(Reference_Lists!$H$13:$H$14,MATCH(G154,Reference_Lists!$G$13:$G$14,0)),"UNMATCHED")</f>
        <v>15</v>
      </c>
      <c r="O154" s="35" t="b">
        <f aca="false">IF(AND(J154="Closed",ISNUMBER(M154),ISNUMBER(N154),M154&gt;=0),M154&lt;=N154,"NOT ASSESSED")</f>
        <v>1</v>
      </c>
      <c r="P154" s="36" t="str">
        <f aca="false">Raw_Data!A156</f>
        <v>CFM-2026-0482</v>
      </c>
      <c r="Q154" s="37" t="str">
        <f aca="false">IFERROR(IF(OR($A154="",$P154=""),"MISSING ID",IF(EXACT($A154,$P154),"ALIGNED","MISMATCH")),"CHECK")</f>
        <v>ALIGNED</v>
      </c>
    </row>
    <row r="155" customFormat="false" ht="19.5" hidden="false" customHeight="true" outlineLevel="0" collapsed="false">
      <c r="A155" s="29" t="s">
        <v>270</v>
      </c>
      <c r="B155" s="30" t="n">
        <f aca="false">IF(Raw_Data!B157="","",IF(ISTEXT(Raw_Data!B157),IFERROR(DATE(VALUE(RIGHT(TRIM(Raw_Data!B157),4)),VALUE(MID(TRIM(Raw_Data!B157),4,2)),VALUE(LEFT(TRIM(Raw_Data!B157),2))),"CHECK"),Raw_Data!B157))</f>
        <v>46163</v>
      </c>
      <c r="C155" s="31" t="str">
        <f aca="false">IFERROR(INDEX(Reference_Lists!$C$23:$C$35,MATCH(PROPER(TRIM(Raw_Data!C157)),Reference_Lists!$B$23:$B$35,0)),"UNMATCHED")</f>
        <v>In-Person at Distribution</v>
      </c>
      <c r="D155" s="31" t="str">
        <f aca="false">IFERROR(INDEX(Reference_Lists!$C$36:$C$50,MATCH(PROPER(TRIM(Raw_Data!D157)),Reference_Lists!$B$36:$B$50,0)),"UNMATCHED")</f>
        <v>Gaza City</v>
      </c>
      <c r="E155" s="31" t="str">
        <f aca="false">IF(Raw_Data!E157="","",Raw_Data!E157)</f>
        <v>Shelter</v>
      </c>
      <c r="F155" s="31" t="str">
        <f aca="false">IF(Raw_Data!F157="","",Raw_Data!F157)</f>
        <v>Complaint</v>
      </c>
      <c r="G155" s="32" t="str">
        <f aca="false">IF(Raw_Data!G157="","",Raw_Data!G157)</f>
        <v>Non-Sensitive</v>
      </c>
      <c r="H155" s="32" t="str">
        <f aca="false">IFERROR(INDEX(Reference_Lists!$C$51:$C$57,MATCH(PROPER(TRIM(Raw_Data!H157)),Reference_Lists!$B$51:$B$57,0)),"UNMATCHED")</f>
        <v>Male</v>
      </c>
      <c r="I155" s="32" t="str">
        <f aca="false">IF(Raw_Data!I157="","",Raw_Data!I157)</f>
        <v>45-59</v>
      </c>
      <c r="J155" s="32" t="str">
        <f aca="false">IFERROR(INDEX(Reference_Lists!$C$58:$C$65,MATCH(PROPER(TRIM(Raw_Data!J157)),Reference_Lists!$B$58:$B$65,0)),"UNMATCHED")</f>
        <v>Closed</v>
      </c>
      <c r="K155" s="30" t="n">
        <f aca="false">IF(Raw_Data!K157="","",IF(ISTEXT(Raw_Data!K157),IFERROR(DATE(VALUE(RIGHT(TRIM(Raw_Data!K157),4)),VALUE(MID(TRIM(Raw_Data!K157),4,2)),VALUE(LEFT(TRIM(Raw_Data!K157),2))),"CHECK"),Raw_Data!K157))</f>
        <v>46170</v>
      </c>
      <c r="L155" s="33" t="str">
        <f aca="false">IF(Raw_Data!L157="","",Raw_Data!L157)</f>
        <v>Shelter kit delivered on time and the team explained the use clearly.</v>
      </c>
      <c r="M155" s="34" t="n">
        <f aca="false">IF(OR(B155="",K155=""),"",IFERROR(K155-B155,"CHECK"))</f>
        <v>7</v>
      </c>
      <c r="N155" s="34" t="n">
        <f aca="false">IFERROR(INDEX(Reference_Lists!$H$13:$H$14,MATCH(G155,Reference_Lists!$G$13:$G$14,0)),"UNMATCHED")</f>
        <v>15</v>
      </c>
      <c r="O155" s="35" t="b">
        <f aca="false">IF(AND(J155="Closed",ISNUMBER(M155),ISNUMBER(N155),M155&gt;=0),M155&lt;=N155,"NOT ASSESSED")</f>
        <v>1</v>
      </c>
      <c r="P155" s="36" t="str">
        <f aca="false">Raw_Data!A157</f>
        <v>CFM-2026-0355</v>
      </c>
      <c r="Q155" s="37" t="str">
        <f aca="false">IFERROR(IF(OR($A155="",$P155=""),"MISSING ID",IF(EXACT($A155,$P155),"ALIGNED","MISMATCH")),"CHECK")</f>
        <v>ALIGNED</v>
      </c>
    </row>
    <row r="156" customFormat="false" ht="19.5" hidden="false" customHeight="true" outlineLevel="0" collapsed="false">
      <c r="A156" s="29" t="s">
        <v>271</v>
      </c>
      <c r="B156" s="30" t="n">
        <f aca="false">IF(Raw_Data!B158="","",IF(ISTEXT(Raw_Data!B158),IFERROR(DATE(VALUE(RIGHT(TRIM(Raw_Data!B158),4)),VALUE(MID(TRIM(Raw_Data!B158),4,2)),VALUE(LEFT(TRIM(Raw_Data!B158),2))),"CHECK"),Raw_Data!B158))</f>
        <v>46221</v>
      </c>
      <c r="C156" s="31" t="str">
        <f aca="false">IFERROR(INDEX(Reference_Lists!$C$23:$C$35,MATCH(PROPER(TRIM(Raw_Data!C158)),Reference_Lists!$B$23:$B$35,0)),"UNMATCHED")</f>
        <v>In-Person at Distribution</v>
      </c>
      <c r="D156" s="31" t="str">
        <f aca="false">IFERROR(INDEX(Reference_Lists!$C$36:$C$50,MATCH(PROPER(TRIM(Raw_Data!D158)),Reference_Lists!$B$36:$B$50,0)),"UNMATCHED")</f>
        <v>Nuseirat</v>
      </c>
      <c r="E156" s="31" t="str">
        <f aca="false">IF(Raw_Data!E158="","",Raw_Data!E158)</f>
        <v>Nutrition</v>
      </c>
      <c r="F156" s="31" t="str">
        <f aca="false">IF(Raw_Data!F158="","",Raw_Data!F158)</f>
        <v>Request for Information</v>
      </c>
      <c r="G156" s="32" t="str">
        <f aca="false">IF(Raw_Data!G158="","",Raw_Data!G158)</f>
        <v>Non-Sensitive</v>
      </c>
      <c r="H156" s="32" t="str">
        <f aca="false">IFERROR(INDEX(Reference_Lists!$C$51:$C$57,MATCH(PROPER(TRIM(Raw_Data!H158)),Reference_Lists!$B$51:$B$57,0)),"UNMATCHED")</f>
        <v>Male</v>
      </c>
      <c r="I156" s="32" t="str">
        <f aca="false">IF(Raw_Data!I158="","",Raw_Data!I158)</f>
        <v>18-29</v>
      </c>
      <c r="J156" s="32" t="str">
        <f aca="false">IFERROR(INDEX(Reference_Lists!$C$58:$C$65,MATCH(PROPER(TRIM(Raw_Data!J158)),Reference_Lists!$B$58:$B$65,0)),"UNMATCHED")</f>
        <v>Open</v>
      </c>
      <c r="K156" s="30" t="str">
        <f aca="false">IF(Raw_Data!K158="","",IF(ISTEXT(Raw_Data!K158),IFERROR(DATE(VALUE(RIGHT(TRIM(Raw_Data!K158),4)),VALUE(MID(TRIM(Raw_Data!K158),4,2)),VALUE(LEFT(TRIM(Raw_Data!K158),2))),"CHECK"),Raw_Data!K158))</f>
        <v/>
      </c>
      <c r="L156" s="33" t="str">
        <f aca="false">IF(Raw_Data!L158="","",Raw_Data!L158)</f>
        <v>Requesting a screening session closer to the northern shelter.</v>
      </c>
      <c r="M156" s="34" t="str">
        <f aca="false">IF(OR(B156="",K156=""),"",IFERROR(K156-B156,"CHECK"))</f>
        <v/>
      </c>
      <c r="N156" s="34" t="n">
        <f aca="false">IFERROR(INDEX(Reference_Lists!$H$13:$H$14,MATCH(G156,Reference_Lists!$G$13:$G$14,0)),"UNMATCHED")</f>
        <v>15</v>
      </c>
      <c r="O156" s="32" t="str">
        <f aca="false">IF(AND(J156="Closed",ISNUMBER(M156),ISNUMBER(N156),M156&gt;=0),M156&lt;=N156,"NOT ASSESSED")</f>
        <v>NOT ASSESSED</v>
      </c>
      <c r="P156" s="36" t="str">
        <f aca="false">Raw_Data!A158</f>
        <v>CFM-2026-0189</v>
      </c>
      <c r="Q156" s="37" t="str">
        <f aca="false">IFERROR(IF(OR($A156="",$P156=""),"MISSING ID",IF(EXACT($A156,$P156),"ALIGNED","MISMATCH")),"CHECK")</f>
        <v>ALIGNED</v>
      </c>
    </row>
    <row r="157" customFormat="false" ht="19.5" hidden="false" customHeight="true" outlineLevel="0" collapsed="false">
      <c r="A157" s="29" t="s">
        <v>272</v>
      </c>
      <c r="B157" s="30" t="n">
        <f aca="false">IF(Raw_Data!B159="","",IF(ISTEXT(Raw_Data!B159),IFERROR(DATE(VALUE(RIGHT(TRIM(Raw_Data!B159),4)),VALUE(MID(TRIM(Raw_Data!B159),4,2)),VALUE(LEFT(TRIM(Raw_Data!B159),2))),"CHECK"),Raw_Data!B159))</f>
        <v>46043</v>
      </c>
      <c r="C157" s="31" t="str">
        <f aca="false">IFERROR(INDEX(Reference_Lists!$C$23:$C$35,MATCH(PROPER(TRIM(Raw_Data!C159)),Reference_Lists!$B$23:$B$35,0)),"UNMATCHED")</f>
        <v>Phone Hotline</v>
      </c>
      <c r="D157" s="31" t="str">
        <f aca="false">IFERROR(INDEX(Reference_Lists!$C$36:$C$50,MATCH(PROPER(TRIM(Raw_Data!D159)),Reference_Lists!$B$36:$B$50,0)),"UNMATCHED")</f>
        <v>Khan Yunis</v>
      </c>
      <c r="E157" s="31" t="str">
        <f aca="false">IF(Raw_Data!E159="","",Raw_Data!E159)</f>
        <v>Food Security</v>
      </c>
      <c r="F157" s="31" t="str">
        <f aca="false">IF(Raw_Data!F159="","",Raw_Data!F159)</f>
        <v>Suggestion</v>
      </c>
      <c r="G157" s="32" t="str">
        <f aca="false">IF(Raw_Data!G159="","",Raw_Data!G159)</f>
        <v>Non-Sensitive</v>
      </c>
      <c r="H157" s="32" t="str">
        <f aca="false">IFERROR(INDEX(Reference_Lists!$C$51:$C$57,MATCH(PROPER(TRIM(Raw_Data!H159)),Reference_Lists!$B$51:$B$57,0)),"UNMATCHED")</f>
        <v>Male</v>
      </c>
      <c r="I157" s="32" t="str">
        <f aca="false">IF(Raw_Data!I159="","",Raw_Data!I159)</f>
        <v>45-59</v>
      </c>
      <c r="J157" s="32" t="str">
        <f aca="false">IFERROR(INDEX(Reference_Lists!$C$58:$C$65,MATCH(PROPER(TRIM(Raw_Data!J159)),Reference_Lists!$B$58:$B$65,0)),"UNMATCHED")</f>
        <v>Open</v>
      </c>
      <c r="K157" s="30" t="str">
        <f aca="false">IF(Raw_Data!K159="","",IF(ISTEXT(Raw_Data!K159),IFERROR(DATE(VALUE(RIGHT(TRIM(Raw_Data!K159),4)),VALUE(MID(TRIM(Raw_Data!K159),4,2)),VALUE(LEFT(TRIM(Raw_Data!K159),2))),"CHECK"),Raw_Data!K159))</f>
        <v/>
      </c>
      <c r="L157" s="33" t="str">
        <f aca="false">IF(Raw_Data!L159="","",Raw_Data!L159)</f>
        <v>Food parcel contents did not match the announced list.</v>
      </c>
      <c r="M157" s="34" t="str">
        <f aca="false">IF(OR(B157="",K157=""),"",IFERROR(K157-B157,"CHECK"))</f>
        <v/>
      </c>
      <c r="N157" s="34" t="n">
        <f aca="false">IFERROR(INDEX(Reference_Lists!$H$13:$H$14,MATCH(G157,Reference_Lists!$G$13:$G$14,0)),"UNMATCHED")</f>
        <v>15</v>
      </c>
      <c r="O157" s="32" t="str">
        <f aca="false">IF(AND(J157="Closed",ISNUMBER(M157),ISNUMBER(N157),M157&gt;=0),M157&lt;=N157,"NOT ASSESSED")</f>
        <v>NOT ASSESSED</v>
      </c>
      <c r="P157" s="36" t="str">
        <f aca="false">Raw_Data!A159</f>
        <v>CFM-2026-0110</v>
      </c>
      <c r="Q157" s="37" t="str">
        <f aca="false">IFERROR(IF(OR($A157="",$P157=""),"MISSING ID",IF(EXACT($A157,$P157),"ALIGNED","MISMATCH")),"CHECK")</f>
        <v>ALIGNED</v>
      </c>
    </row>
    <row r="158" customFormat="false" ht="19.5" hidden="false" customHeight="true" outlineLevel="0" collapsed="false">
      <c r="A158" s="29" t="s">
        <v>274</v>
      </c>
      <c r="B158" s="30" t="n">
        <f aca="false">IF(Raw_Data!B160="","",IF(ISTEXT(Raw_Data!B160),IFERROR(DATE(VALUE(RIGHT(TRIM(Raw_Data!B160),4)),VALUE(MID(TRIM(Raw_Data!B160),4,2)),VALUE(LEFT(TRIM(Raw_Data!B160),2))),"CHECK"),Raw_Data!B160))</f>
        <v>46076</v>
      </c>
      <c r="C158" s="31" t="str">
        <f aca="false">IFERROR(INDEX(Reference_Lists!$C$23:$C$35,MATCH(PROPER(TRIM(Raw_Data!C160)),Reference_Lists!$B$23:$B$35,0)),"UNMATCHED")</f>
        <v>Help Desk</v>
      </c>
      <c r="D158" s="31" t="str">
        <f aca="false">IFERROR(INDEX(Reference_Lists!$C$36:$C$50,MATCH(PROPER(TRIM(Raw_Data!D160)),Reference_Lists!$B$36:$B$50,0)),"UNMATCHED")</f>
        <v>Deir al-Balah</v>
      </c>
      <c r="E158" s="31" t="str">
        <f aca="false">IF(Raw_Data!E160="","",Raw_Data!E160)</f>
        <v>WASH</v>
      </c>
      <c r="F158" s="31" t="str">
        <f aca="false">IF(Raw_Data!F160="","",Raw_Data!F160)</f>
        <v>Suggestion</v>
      </c>
      <c r="G158" s="32" t="str">
        <f aca="false">IF(Raw_Data!G160="","",Raw_Data!G160)</f>
        <v>Non-Sensitive</v>
      </c>
      <c r="H158" s="32" t="str">
        <f aca="false">IFERROR(INDEX(Reference_Lists!$C$51:$C$57,MATCH(PROPER(TRIM(Raw_Data!H160)),Reference_Lists!$B$51:$B$57,0)),"UNMATCHED")</f>
        <v>Female</v>
      </c>
      <c r="I158" s="32" t="str">
        <f aca="false">IF(Raw_Data!I160="","",Raw_Data!I160)</f>
        <v>60+</v>
      </c>
      <c r="J158" s="32" t="str">
        <f aca="false">IFERROR(INDEX(Reference_Lists!$C$58:$C$65,MATCH(PROPER(TRIM(Raw_Data!J160)),Reference_Lists!$B$58:$B$65,0)),"UNMATCHED")</f>
        <v>Closed</v>
      </c>
      <c r="K158" s="30" t="str">
        <f aca="false">IF(Raw_Data!K160="","",IF(ISTEXT(Raw_Data!K160),IFERROR(DATE(VALUE(RIGHT(TRIM(Raw_Data!K160),4)),VALUE(MID(TRIM(Raw_Data!K160),4,2)),VALUE(LEFT(TRIM(Raw_Data!K160),2))),"CHECK"),Raw_Data!K160))</f>
        <v/>
      </c>
      <c r="L158" s="33" t="str">
        <f aca="false">IF(Raw_Data!L160="","",Raw_Data!L160)</f>
        <v>Latrine at the site block needs cleaning and lighting at night.</v>
      </c>
      <c r="M158" s="34" t="str">
        <f aca="false">IF(OR(B158="",K158=""),"",IFERROR(K158-B158,"CHECK"))</f>
        <v/>
      </c>
      <c r="N158" s="34" t="n">
        <f aca="false">IFERROR(INDEX(Reference_Lists!$H$13:$H$14,MATCH(G158,Reference_Lists!$G$13:$G$14,0)),"UNMATCHED")</f>
        <v>15</v>
      </c>
      <c r="O158" s="32" t="str">
        <f aca="false">IF(AND(J158="Closed",ISNUMBER(M158),ISNUMBER(N158),M158&gt;=0),M158&lt;=N158,"NOT ASSESSED")</f>
        <v>NOT ASSESSED</v>
      </c>
      <c r="P158" s="36" t="str">
        <f aca="false">Raw_Data!A160</f>
        <v>CFM-2026-0149</v>
      </c>
      <c r="Q158" s="37" t="str">
        <f aca="false">IFERROR(IF(OR($A158="",$P158=""),"MISSING ID",IF(EXACT($A158,$P158),"ALIGNED","MISMATCH")),"CHECK")</f>
        <v>ALIGNED</v>
      </c>
    </row>
    <row r="159" customFormat="false" ht="19.5" hidden="false" customHeight="true" outlineLevel="0" collapsed="false">
      <c r="A159" s="29" t="s">
        <v>275</v>
      </c>
      <c r="B159" s="30" t="n">
        <f aca="false">IF(Raw_Data!B161="","",IF(ISTEXT(Raw_Data!B161),IFERROR(DATE(VALUE(RIGHT(TRIM(Raw_Data!B161),4)),VALUE(MID(TRIM(Raw_Data!B161),4,2)),VALUE(LEFT(TRIM(Raw_Data!B161),2))),"CHECK"),Raw_Data!B161))</f>
        <v>46061</v>
      </c>
      <c r="C159" s="31" t="str">
        <f aca="false">IFERROR(INDEX(Reference_Lists!$C$23:$C$35,MATCH(PROPER(TRIM(Raw_Data!C161)),Reference_Lists!$B$23:$B$35,0)),"UNMATCHED")</f>
        <v>Help Desk</v>
      </c>
      <c r="D159" s="31" t="str">
        <f aca="false">IFERROR(INDEX(Reference_Lists!$C$36:$C$50,MATCH(PROPER(TRIM(Raw_Data!D161)),Reference_Lists!$B$36:$B$50,0)),"UNMATCHED")</f>
        <v>Khan Yunis</v>
      </c>
      <c r="E159" s="31" t="str">
        <f aca="false">IF(Raw_Data!E161="","",Raw_Data!E161)</f>
        <v>Nutrition</v>
      </c>
      <c r="F159" s="31" t="str">
        <f aca="false">IF(Raw_Data!F161="","",Raw_Data!F161)</f>
        <v>Request for Information</v>
      </c>
      <c r="G159" s="32" t="str">
        <f aca="false">IF(Raw_Data!G161="","",Raw_Data!G161)</f>
        <v>Non-Sensitive</v>
      </c>
      <c r="H159" s="32" t="str">
        <f aca="false">IFERROR(INDEX(Reference_Lists!$C$51:$C$57,MATCH(PROPER(TRIM(Raw_Data!H161)),Reference_Lists!$B$51:$B$57,0)),"UNMATCHED")</f>
        <v>Female</v>
      </c>
      <c r="I159" s="32" t="str">
        <f aca="false">IF(Raw_Data!I161="","",Raw_Data!I161)</f>
        <v>18-29</v>
      </c>
      <c r="J159" s="32" t="str">
        <f aca="false">IFERROR(INDEX(Reference_Lists!$C$58:$C$65,MATCH(PROPER(TRIM(Raw_Data!J161)),Reference_Lists!$B$58:$B$65,0)),"UNMATCHED")</f>
        <v>Closed</v>
      </c>
      <c r="K159" s="30" t="n">
        <f aca="false">IF(Raw_Data!K161="","",IF(ISTEXT(Raw_Data!K161),IFERROR(DATE(VALUE(RIGHT(TRIM(Raw_Data!K161),4)),VALUE(MID(TRIM(Raw_Data!K161),4,2)),VALUE(LEFT(TRIM(Raw_Data!K161),2))),"CHECK"),Raw_Data!K161))</f>
        <v>46062</v>
      </c>
      <c r="L159" s="33" t="str">
        <f aca="false">IF(Raw_Data!L161="","",Raw_Data!L161)</f>
        <v>Requesting a screening session closer to the northern shelter.</v>
      </c>
      <c r="M159" s="34" t="n">
        <f aca="false">IF(OR(B159="",K159=""),"",IFERROR(K159-B159,"CHECK"))</f>
        <v>1</v>
      </c>
      <c r="N159" s="34" t="n">
        <f aca="false">IFERROR(INDEX(Reference_Lists!$H$13:$H$14,MATCH(G159,Reference_Lists!$G$13:$G$14,0)),"UNMATCHED")</f>
        <v>15</v>
      </c>
      <c r="O159" s="35" t="b">
        <f aca="false">IF(AND(J159="Closed",ISNUMBER(M159),ISNUMBER(N159),M159&gt;=0),M159&lt;=N159,"NOT ASSESSED")</f>
        <v>1</v>
      </c>
      <c r="P159" s="36" t="str">
        <f aca="false">Raw_Data!A161</f>
        <v>CFM-2026-0195</v>
      </c>
      <c r="Q159" s="37" t="str">
        <f aca="false">IFERROR(IF(OR($A159="",$P159=""),"MISSING ID",IF(EXACT($A159,$P159),"ALIGNED","MISMATCH")),"CHECK")</f>
        <v>ALIGNED</v>
      </c>
    </row>
    <row r="160" customFormat="false" ht="19.5" hidden="false" customHeight="true" outlineLevel="0" collapsed="false">
      <c r="A160" s="29" t="s">
        <v>276</v>
      </c>
      <c r="B160" s="30" t="n">
        <f aca="false">IF(Raw_Data!B162="","",IF(ISTEXT(Raw_Data!B162),IFERROR(DATE(VALUE(RIGHT(TRIM(Raw_Data!B162),4)),VALUE(MID(TRIM(Raw_Data!B162),4,2)),VALUE(LEFT(TRIM(Raw_Data!B162),2))),"CHECK"),Raw_Data!B162))</f>
        <v>46094</v>
      </c>
      <c r="C160" s="31" t="str">
        <f aca="false">IFERROR(INDEX(Reference_Lists!$C$23:$C$35,MATCH(PROPER(TRIM(Raw_Data!C162)),Reference_Lists!$B$23:$B$35,0)),"UNMATCHED")</f>
        <v>Suggestion Box</v>
      </c>
      <c r="D160" s="31" t="str">
        <f aca="false">IFERROR(INDEX(Reference_Lists!$C$36:$C$50,MATCH(PROPER(TRIM(Raw_Data!D162)),Reference_Lists!$B$36:$B$50,0)),"UNMATCHED")</f>
        <v>Jabalia</v>
      </c>
      <c r="E160" s="31" t="str">
        <f aca="false">IF(Raw_Data!E162="","",Raw_Data!E162)</f>
        <v>Food Security</v>
      </c>
      <c r="F160" s="31" t="str">
        <f aca="false">IF(Raw_Data!F162="","",Raw_Data!F162)</f>
        <v>Complaint</v>
      </c>
      <c r="G160" s="32" t="str">
        <f aca="false">IF(Raw_Data!G162="","",Raw_Data!G162)</f>
        <v>Non-Sensitive</v>
      </c>
      <c r="H160" s="32" t="str">
        <f aca="false">IFERROR(INDEX(Reference_Lists!$C$51:$C$57,MATCH(PROPER(TRIM(Raw_Data!H162)),Reference_Lists!$B$51:$B$57,0)),"UNMATCHED")</f>
        <v>Female</v>
      </c>
      <c r="I160" s="32" t="str">
        <f aca="false">IF(Raw_Data!I162="","",Raw_Data!I162)</f>
        <v>18-29</v>
      </c>
      <c r="J160" s="32" t="str">
        <f aca="false">IFERROR(INDEX(Reference_Lists!$C$58:$C$65,MATCH(PROPER(TRIM(Raw_Data!J162)),Reference_Lists!$B$58:$B$65,0)),"UNMATCHED")</f>
        <v>Closed</v>
      </c>
      <c r="K160" s="30" t="n">
        <f aca="false">IF(Raw_Data!K162="","",IF(ISTEXT(Raw_Data!K162),IFERROR(DATE(VALUE(RIGHT(TRIM(Raw_Data!K162),4)),VALUE(MID(TRIM(Raw_Data!K162),4,2)),VALUE(LEFT(TRIM(Raw_Data!K162),2))),"CHECK"),Raw_Data!K162))</f>
        <v>46104</v>
      </c>
      <c r="L160" s="33" t="str">
        <f aca="false">IF(Raw_Data!L162="","",Raw_Data!L162)</f>
        <v>Thanking the team for organising the last distribution well.</v>
      </c>
      <c r="M160" s="34" t="n">
        <f aca="false">IF(OR(B160="",K160=""),"",IFERROR(K160-B160,"CHECK"))</f>
        <v>10</v>
      </c>
      <c r="N160" s="34" t="n">
        <f aca="false">IFERROR(INDEX(Reference_Lists!$H$13:$H$14,MATCH(G160,Reference_Lists!$G$13:$G$14,0)),"UNMATCHED")</f>
        <v>15</v>
      </c>
      <c r="O160" s="35" t="b">
        <f aca="false">IF(AND(J160="Closed",ISNUMBER(M160),ISNUMBER(N160),M160&gt;=0),M160&lt;=N160,"NOT ASSESSED")</f>
        <v>1</v>
      </c>
      <c r="P160" s="36" t="str">
        <f aca="false">Raw_Data!A162</f>
        <v>CFM-2026-0027</v>
      </c>
      <c r="Q160" s="37" t="str">
        <f aca="false">IFERROR(IF(OR($A160="",$P160=""),"MISSING ID",IF(EXACT($A160,$P160),"ALIGNED","MISMATCH")),"CHECK")</f>
        <v>ALIGNED</v>
      </c>
    </row>
    <row r="161" customFormat="false" ht="19.5" hidden="false" customHeight="true" outlineLevel="0" collapsed="false">
      <c r="A161" s="29" t="s">
        <v>277</v>
      </c>
      <c r="B161" s="30" t="n">
        <f aca="false">IF(Raw_Data!B163="","",IF(ISTEXT(Raw_Data!B163),IFERROR(DATE(VALUE(RIGHT(TRIM(Raw_Data!B163),4)),VALUE(MID(TRIM(Raw_Data!B163),4,2)),VALUE(LEFT(TRIM(Raw_Data!B163),2))),"CHECK"),Raw_Data!B163))</f>
        <v>46086</v>
      </c>
      <c r="C161" s="31" t="str">
        <f aca="false">IFERROR(INDEX(Reference_Lists!$C$23:$C$35,MATCH(PROPER(TRIM(Raw_Data!C163)),Reference_Lists!$B$23:$B$35,0)),"UNMATCHED")</f>
        <v>Phone Hotline</v>
      </c>
      <c r="D161" s="31" t="str">
        <f aca="false">IFERROR(INDEX(Reference_Lists!$C$36:$C$50,MATCH(PROPER(TRIM(Raw_Data!D163)),Reference_Lists!$B$36:$B$50,0)),"UNMATCHED")</f>
        <v>Rafah</v>
      </c>
      <c r="E161" s="31" t="str">
        <f aca="false">IF(Raw_Data!E163="","",Raw_Data!E163)</f>
        <v/>
      </c>
      <c r="F161" s="31" t="str">
        <f aca="false">IF(Raw_Data!F163="","",Raw_Data!F163)</f>
        <v>Appreciation</v>
      </c>
      <c r="G161" s="32" t="str">
        <f aca="false">IF(Raw_Data!G163="","",Raw_Data!G163)</f>
        <v>Non-Sensitive</v>
      </c>
      <c r="H161" s="32" t="str">
        <f aca="false">IFERROR(INDEX(Reference_Lists!$C$51:$C$57,MATCH(PROPER(TRIM(Raw_Data!H163)),Reference_Lists!$B$51:$B$57,0)),"UNMATCHED")</f>
        <v>Male</v>
      </c>
      <c r="I161" s="32" t="str">
        <f aca="false">IF(Raw_Data!I163="","",Raw_Data!I163)</f>
        <v>30-44</v>
      </c>
      <c r="J161" s="32" t="str">
        <f aca="false">IFERROR(INDEX(Reference_Lists!$C$58:$C$65,MATCH(PROPER(TRIM(Raw_Data!J163)),Reference_Lists!$B$58:$B$65,0)),"UNMATCHED")</f>
        <v>Referred</v>
      </c>
      <c r="K161" s="30" t="str">
        <f aca="false">IF(Raw_Data!K163="","",IF(ISTEXT(Raw_Data!K163),IFERROR(DATE(VALUE(RIGHT(TRIM(Raw_Data!K163),4)),VALUE(MID(TRIM(Raw_Data!K163),4,2)),VALUE(LEFT(TRIM(Raw_Data!K163),2))),"CHECK"),Raw_Data!K163))</f>
        <v/>
      </c>
      <c r="L161" s="33" t="str">
        <f aca="false">IF(Raw_Data!L163="","",Raw_Data!L163)</f>
        <v>Food parcel contents did not match the announced list.</v>
      </c>
      <c r="M161" s="34" t="str">
        <f aca="false">IF(OR(B161="",K161=""),"",IFERROR(K161-B161,"CHECK"))</f>
        <v/>
      </c>
      <c r="N161" s="34" t="n">
        <f aca="false">IFERROR(INDEX(Reference_Lists!$H$13:$H$14,MATCH(G161,Reference_Lists!$G$13:$G$14,0)),"UNMATCHED")</f>
        <v>15</v>
      </c>
      <c r="O161" s="32" t="str">
        <f aca="false">IF(AND(J161="Closed",ISNUMBER(M161),ISNUMBER(N161),M161&gt;=0),M161&lt;=N161,"NOT ASSESSED")</f>
        <v>NOT ASSESSED</v>
      </c>
      <c r="P161" s="36" t="str">
        <f aca="false">Raw_Data!A163</f>
        <v>CFM-2026-0499</v>
      </c>
      <c r="Q161" s="37" t="str">
        <f aca="false">IFERROR(IF(OR($A161="",$P161=""),"MISSING ID",IF(EXACT($A161,$P161),"ALIGNED","MISMATCH")),"CHECK")</f>
        <v>ALIGNED</v>
      </c>
    </row>
    <row r="162" customFormat="false" ht="19.5" hidden="false" customHeight="true" outlineLevel="0" collapsed="false">
      <c r="A162" s="29" t="s">
        <v>278</v>
      </c>
      <c r="B162" s="30" t="n">
        <f aca="false">IF(Raw_Data!B164="","",IF(ISTEXT(Raw_Data!B164),IFERROR(DATE(VALUE(RIGHT(TRIM(Raw_Data!B164),4)),VALUE(MID(TRIM(Raw_Data!B164),4,2)),VALUE(LEFT(TRIM(Raw_Data!B164),2))),"CHECK"),Raw_Data!B164))</f>
        <v>46223</v>
      </c>
      <c r="C162" s="31" t="str">
        <f aca="false">IFERROR(INDEX(Reference_Lists!$C$23:$C$35,MATCH(PROPER(TRIM(Raw_Data!C164)),Reference_Lists!$B$23:$B$35,0)),"UNMATCHED")</f>
        <v>Community Focal Point</v>
      </c>
      <c r="D162" s="31" t="str">
        <f aca="false">IFERROR(INDEX(Reference_Lists!$C$36:$C$50,MATCH(PROPER(TRIM(Raw_Data!D164)),Reference_Lists!$B$36:$B$50,0)),"UNMATCHED")</f>
        <v>Khan Yunis</v>
      </c>
      <c r="E162" s="31" t="str">
        <f aca="false">IF(Raw_Data!E164="","",Raw_Data!E164)</f>
        <v>WASH</v>
      </c>
      <c r="F162" s="31" t="str">
        <f aca="false">IF(Raw_Data!F164="","",Raw_Data!F164)</f>
        <v>Request for Information</v>
      </c>
      <c r="G162" s="32" t="str">
        <f aca="false">IF(Raw_Data!G164="","",Raw_Data!G164)</f>
        <v/>
      </c>
      <c r="H162" s="32" t="str">
        <f aca="false">IFERROR(INDEX(Reference_Lists!$C$51:$C$57,MATCH(PROPER(TRIM(Raw_Data!H164)),Reference_Lists!$B$51:$B$57,0)),"UNMATCHED")</f>
        <v>Male</v>
      </c>
      <c r="I162" s="32" t="str">
        <f aca="false">IF(Raw_Data!I164="","",Raw_Data!I164)</f>
        <v>30-44</v>
      </c>
      <c r="J162" s="32" t="str">
        <f aca="false">IFERROR(INDEX(Reference_Lists!$C$58:$C$65,MATCH(PROPER(TRIM(Raw_Data!J164)),Reference_Lists!$B$58:$B$65,0)),"UNMATCHED")</f>
        <v>Closed</v>
      </c>
      <c r="K162" s="30" t="n">
        <f aca="false">IF(Raw_Data!K164="","",IF(ISTEXT(Raw_Data!K164),IFERROR(DATE(VALUE(RIGHT(TRIM(Raw_Data!K164),4)),VALUE(MID(TRIM(Raw_Data!K164),4,2)),VALUE(LEFT(TRIM(Raw_Data!K164),2))),"CHECK"),Raw_Data!K164))</f>
        <v>46232</v>
      </c>
      <c r="L162" s="33" t="str">
        <f aca="false">IF(Raw_Data!L164="","",Raw_Data!L164)</f>
        <v>Requesting additional jerrycans for a shared shelter of four families.</v>
      </c>
      <c r="M162" s="34" t="n">
        <f aca="false">IF(OR(B162="",K162=""),"",IFERROR(K162-B162,"CHECK"))</f>
        <v>9</v>
      </c>
      <c r="N162" s="34" t="str">
        <f aca="false">IFERROR(INDEX(Reference_Lists!$H$13:$H$14,MATCH(G162,Reference_Lists!$G$13:$G$14,0)),"UNMATCHED")</f>
        <v>UNMATCHED</v>
      </c>
      <c r="O162" s="32" t="str">
        <f aca="false">IF(AND(J162="Closed",ISNUMBER(M162),ISNUMBER(N162),M162&gt;=0),M162&lt;=N162,"NOT ASSESSED")</f>
        <v>NOT ASSESSED</v>
      </c>
      <c r="P162" s="36" t="str">
        <f aca="false">Raw_Data!A164</f>
        <v>CFM-2026-0032</v>
      </c>
      <c r="Q162" s="37" t="str">
        <f aca="false">IFERROR(IF(OR($A162="",$P162=""),"MISSING ID",IF(EXACT($A162,$P162),"ALIGNED","MISMATCH")),"CHECK")</f>
        <v>ALIGNED</v>
      </c>
    </row>
    <row r="163" customFormat="false" ht="19.5" hidden="false" customHeight="true" outlineLevel="0" collapsed="false">
      <c r="A163" s="29" t="s">
        <v>279</v>
      </c>
      <c r="B163" s="30" t="n">
        <f aca="false">IF(Raw_Data!B165="","",IF(ISTEXT(Raw_Data!B165),IFERROR(DATE(VALUE(RIGHT(TRIM(Raw_Data!B165),4)),VALUE(MID(TRIM(Raw_Data!B165),4,2)),VALUE(LEFT(TRIM(Raw_Data!B165),2))),"CHECK"),Raw_Data!B165))</f>
        <v>46220</v>
      </c>
      <c r="C163" s="31" t="str">
        <f aca="false">IFERROR(INDEX(Reference_Lists!$C$23:$C$35,MATCH(PROPER(TRIM(Raw_Data!C165)),Reference_Lists!$B$23:$B$35,0)),"UNMATCHED")</f>
        <v>Community Focal Point</v>
      </c>
      <c r="D163" s="31" t="str">
        <f aca="false">IFERROR(INDEX(Reference_Lists!$C$36:$C$50,MATCH(PROPER(TRIM(Raw_Data!D165)),Reference_Lists!$B$36:$B$50,0)),"UNMATCHED")</f>
        <v>Rafah</v>
      </c>
      <c r="E163" s="31" t="str">
        <f aca="false">IF(Raw_Data!E165="","",Raw_Data!E165)</f>
        <v>Health</v>
      </c>
      <c r="F163" s="31" t="str">
        <f aca="false">IF(Raw_Data!F165="","",Raw_Data!F165)</f>
        <v>Request for Information</v>
      </c>
      <c r="G163" s="32" t="str">
        <f aca="false">IF(Raw_Data!G165="","",Raw_Data!G165)</f>
        <v>Non-Sensitive</v>
      </c>
      <c r="H163" s="32" t="str">
        <f aca="false">IFERROR(INDEX(Reference_Lists!$C$51:$C$57,MATCH(PROPER(TRIM(Raw_Data!H165)),Reference_Lists!$B$51:$B$57,0)),"UNMATCHED")</f>
        <v>Prefer not to say</v>
      </c>
      <c r="I163" s="32" t="str">
        <f aca="false">IF(Raw_Data!I165="","",Raw_Data!I165)</f>
        <v>45-59</v>
      </c>
      <c r="J163" s="32" t="str">
        <f aca="false">IFERROR(INDEX(Reference_Lists!$C$58:$C$65,MATCH(PROPER(TRIM(Raw_Data!J165)),Reference_Lists!$B$58:$B$65,0)),"UNMATCHED")</f>
        <v>In Progress</v>
      </c>
      <c r="K163" s="30" t="str">
        <f aca="false">IF(Raw_Data!K165="","",IF(ISTEXT(Raw_Data!K165),IFERROR(DATE(VALUE(RIGHT(TRIM(Raw_Data!K165),4)),VALUE(MID(TRIM(Raw_Data!K165),4,2)),VALUE(LEFT(TRIM(Raw_Data!K165),2))),"CHECK"),Raw_Data!K165))</f>
        <v/>
      </c>
      <c r="L163" s="33" t="str">
        <f aca="false">IF(Raw_Data!L165="","",Raw_Data!L165)</f>
        <v>Requesting a referral pathway for a family member with limited mobility.</v>
      </c>
      <c r="M163" s="34" t="str">
        <f aca="false">IF(OR(B163="",K163=""),"",IFERROR(K163-B163,"CHECK"))</f>
        <v/>
      </c>
      <c r="N163" s="34" t="n">
        <f aca="false">IFERROR(INDEX(Reference_Lists!$H$13:$H$14,MATCH(G163,Reference_Lists!$G$13:$G$14,0)),"UNMATCHED")</f>
        <v>15</v>
      </c>
      <c r="O163" s="32" t="str">
        <f aca="false">IF(AND(J163="Closed",ISNUMBER(M163),ISNUMBER(N163),M163&gt;=0),M163&lt;=N163,"NOT ASSESSED")</f>
        <v>NOT ASSESSED</v>
      </c>
      <c r="P163" s="36" t="str">
        <f aca="false">Raw_Data!A165</f>
        <v>CFM-2026-0184</v>
      </c>
      <c r="Q163" s="37" t="str">
        <f aca="false">IFERROR(IF(OR($A163="",$P163=""),"MISSING ID",IF(EXACT($A163,$P163),"ALIGNED","MISMATCH")),"CHECK")</f>
        <v>ALIGNED</v>
      </c>
    </row>
    <row r="164" customFormat="false" ht="19.5" hidden="false" customHeight="true" outlineLevel="0" collapsed="false">
      <c r="A164" s="29" t="s">
        <v>280</v>
      </c>
      <c r="B164" s="30" t="n">
        <f aca="false">IF(Raw_Data!B166="","",IF(ISTEXT(Raw_Data!B166),IFERROR(DATE(VALUE(RIGHT(TRIM(Raw_Data!B166),4)),VALUE(MID(TRIM(Raw_Data!B166),4,2)),VALUE(LEFT(TRIM(Raw_Data!B166),2))),"CHECK"),Raw_Data!B166))</f>
        <v>46190</v>
      </c>
      <c r="C164" s="31" t="str">
        <f aca="false">IFERROR(INDEX(Reference_Lists!$C$23:$C$35,MATCH(PROPER(TRIM(Raw_Data!C166)),Reference_Lists!$B$23:$B$35,0)),"UNMATCHED")</f>
        <v>Phone Hotline</v>
      </c>
      <c r="D164" s="31" t="str">
        <f aca="false">IFERROR(INDEX(Reference_Lists!$C$36:$C$50,MATCH(PROPER(TRIM(Raw_Data!D166)),Reference_Lists!$B$36:$B$50,0)),"UNMATCHED")</f>
        <v>Nuseirat</v>
      </c>
      <c r="E164" s="31" t="str">
        <f aca="false">IF(Raw_Data!E166="","",Raw_Data!E166)</f>
        <v>Shelter</v>
      </c>
      <c r="F164" s="31" t="str">
        <f aca="false">IF(Raw_Data!F166="","",Raw_Data!F166)</f>
        <v>Request for Information</v>
      </c>
      <c r="G164" s="32" t="str">
        <f aca="false">IF(Raw_Data!G166="","",Raw_Data!G166)</f>
        <v>Non-Sensitive</v>
      </c>
      <c r="H164" s="32" t="str">
        <f aca="false">IFERROR(INDEX(Reference_Lists!$C$51:$C$57,MATCH(PROPER(TRIM(Raw_Data!H166)),Reference_Lists!$B$51:$B$57,0)),"UNMATCHED")</f>
        <v>Male</v>
      </c>
      <c r="I164" s="32" t="str">
        <f aca="false">IF(Raw_Data!I166="","",Raw_Data!I166)</f>
        <v>Under 18</v>
      </c>
      <c r="J164" s="32" t="str">
        <f aca="false">IFERROR(INDEX(Reference_Lists!$C$58:$C$65,MATCH(PROPER(TRIM(Raw_Data!J166)),Reference_Lists!$B$58:$B$65,0)),"UNMATCHED")</f>
        <v>Closed</v>
      </c>
      <c r="K164" s="30" t="n">
        <f aca="false">IF(Raw_Data!K166="","",IF(ISTEXT(Raw_Data!K166),IFERROR(DATE(VALUE(RIGHT(TRIM(Raw_Data!K166),4)),VALUE(MID(TRIM(Raw_Data!K166),4,2)),VALUE(LEFT(TRIM(Raw_Data!K166),2))),"CHECK"),Raw_Data!K166))</f>
        <v>46191</v>
      </c>
      <c r="L164" s="33" t="str">
        <f aca="false">IF(Raw_Data!L166="","",Raw_Data!L166)</f>
        <v>Tarpaulin received is torn and does not cover the shelter area.</v>
      </c>
      <c r="M164" s="34" t="n">
        <f aca="false">IF(OR(B164="",K164=""),"",IFERROR(K164-B164,"CHECK"))</f>
        <v>1</v>
      </c>
      <c r="N164" s="34" t="n">
        <f aca="false">IFERROR(INDEX(Reference_Lists!$H$13:$H$14,MATCH(G164,Reference_Lists!$G$13:$G$14,0)),"UNMATCHED")</f>
        <v>15</v>
      </c>
      <c r="O164" s="35" t="b">
        <f aca="false">IF(AND(J164="Closed",ISNUMBER(M164),ISNUMBER(N164),M164&gt;=0),M164&lt;=N164,"NOT ASSESSED")</f>
        <v>1</v>
      </c>
      <c r="P164" s="36" t="str">
        <f aca="false">Raw_Data!A166</f>
        <v>CFM-2026-0332</v>
      </c>
      <c r="Q164" s="37" t="str">
        <f aca="false">IFERROR(IF(OR($A164="",$P164=""),"MISSING ID",IF(EXACT($A164,$P164),"ALIGNED","MISMATCH")),"CHECK")</f>
        <v>ALIGNED</v>
      </c>
    </row>
    <row r="165" customFormat="false" ht="19.5" hidden="false" customHeight="true" outlineLevel="0" collapsed="false">
      <c r="A165" s="29" t="s">
        <v>281</v>
      </c>
      <c r="B165" s="30" t="n">
        <f aca="false">IF(Raw_Data!B168="","",IF(ISTEXT(Raw_Data!B168),IFERROR(DATE(VALUE(RIGHT(TRIM(Raw_Data!B168),4)),VALUE(MID(TRIM(Raw_Data!B168),4,2)),VALUE(LEFT(TRIM(Raw_Data!B168),2))),"CHECK"),Raw_Data!B168))</f>
        <v>46173</v>
      </c>
      <c r="C165" s="31" t="str">
        <f aca="false">IFERROR(INDEX(Reference_Lists!$C$23:$C$35,MATCH(PROPER(TRIM(Raw_Data!C168)),Reference_Lists!$B$23:$B$35,0)),"UNMATCHED")</f>
        <v>Phone Hotline</v>
      </c>
      <c r="D165" s="31" t="str">
        <f aca="false">IFERROR(INDEX(Reference_Lists!$C$36:$C$50,MATCH(PROPER(TRIM(Raw_Data!D168)),Reference_Lists!$B$36:$B$50,0)),"UNMATCHED")</f>
        <v>Nuseirat</v>
      </c>
      <c r="E165" s="31" t="str">
        <f aca="false">IF(Raw_Data!E168="","",Raw_Data!E168)</f>
        <v>Health</v>
      </c>
      <c r="F165" s="31" t="str">
        <f aca="false">IF(Raw_Data!F168="","",Raw_Data!F168)</f>
        <v>Suggestion</v>
      </c>
      <c r="G165" s="32" t="str">
        <f aca="false">IF(Raw_Data!G168="","",Raw_Data!G168)</f>
        <v>Non-Sensitive</v>
      </c>
      <c r="H165" s="32" t="str">
        <f aca="false">IFERROR(INDEX(Reference_Lists!$C$51:$C$57,MATCH(PROPER(TRIM(Raw_Data!H168)),Reference_Lists!$B$51:$B$57,0)),"UNMATCHED")</f>
        <v>Male</v>
      </c>
      <c r="I165" s="32" t="str">
        <f aca="false">IF(Raw_Data!I168="","",Raw_Data!I168)</f>
        <v>18-29</v>
      </c>
      <c r="J165" s="32" t="str">
        <f aca="false">IFERROR(INDEX(Reference_Lists!$C$58:$C$65,MATCH(PROPER(TRIM(Raw_Data!J168)),Reference_Lists!$B$58:$B$65,0)),"UNMATCHED")</f>
        <v>Open</v>
      </c>
      <c r="K165" s="30" t="str">
        <f aca="false">IF(Raw_Data!K168="","",IF(ISTEXT(Raw_Data!K168),IFERROR(DATE(VALUE(RIGHT(TRIM(Raw_Data!K168),4)),VALUE(MID(TRIM(Raw_Data!K168),4,2)),VALUE(LEFT(TRIM(Raw_Data!K168),2))),"CHECK"),Raw_Data!K168))</f>
        <v/>
      </c>
      <c r="L165" s="33" t="str">
        <f aca="false">IF(Raw_Data!L168="","",Raw_Data!L168)</f>
        <v>Requesting a referral pathway for a family member with limited mobility.</v>
      </c>
      <c r="M165" s="34" t="str">
        <f aca="false">IF(OR(B165="",K165=""),"",IFERROR(K165-B165,"CHECK"))</f>
        <v/>
      </c>
      <c r="N165" s="34" t="n">
        <f aca="false">IFERROR(INDEX(Reference_Lists!$H$13:$H$14,MATCH(G165,Reference_Lists!$G$13:$G$14,0)),"UNMATCHED")</f>
        <v>15</v>
      </c>
      <c r="O165" s="32" t="str">
        <f aca="false">IF(AND(J165="Closed",ISNUMBER(M165),ISNUMBER(N165),M165&gt;=0),M165&lt;=N165,"NOT ASSESSED")</f>
        <v>NOT ASSESSED</v>
      </c>
      <c r="P165" s="36" t="str">
        <f aca="false">Raw_Data!A168</f>
        <v>CFM-2026-0246</v>
      </c>
      <c r="Q165" s="37" t="str">
        <f aca="false">IFERROR(IF(OR($A165="",$P165=""),"MISSING ID",IF(EXACT($A165,$P165),"ALIGNED","MISMATCH")),"CHECK")</f>
        <v>ALIGNED</v>
      </c>
    </row>
    <row r="166" customFormat="false" ht="19.5" hidden="false" customHeight="true" outlineLevel="0" collapsed="false">
      <c r="A166" s="29" t="s">
        <v>282</v>
      </c>
      <c r="B166" s="30" t="n">
        <f aca="false">IF(Raw_Data!B169="","",IF(ISTEXT(Raw_Data!B169),IFERROR(DATE(VALUE(RIGHT(TRIM(Raw_Data!B169),4)),VALUE(MID(TRIM(Raw_Data!B169),4,2)),VALUE(LEFT(TRIM(Raw_Data!B169),2))),"CHECK"),Raw_Data!B169))</f>
        <v>46196</v>
      </c>
      <c r="C166" s="31" t="str">
        <f aca="false">IFERROR(INDEX(Reference_Lists!$C$23:$C$35,MATCH(PROPER(TRIM(Raw_Data!C169)),Reference_Lists!$B$23:$B$35,0)),"UNMATCHED")</f>
        <v>Suggestion Box</v>
      </c>
      <c r="D166" s="31" t="str">
        <f aca="false">IFERROR(INDEX(Reference_Lists!$C$36:$C$50,MATCH(PROPER(TRIM(Raw_Data!D169)),Reference_Lists!$B$36:$B$50,0)),"UNMATCHED")</f>
        <v>Deir al-Balah</v>
      </c>
      <c r="E166" s="31" t="str">
        <f aca="false">IF(Raw_Data!E169="","",Raw_Data!E169)</f>
        <v>Food Security</v>
      </c>
      <c r="F166" s="31" t="str">
        <f aca="false">IF(Raw_Data!F169="","",Raw_Data!F169)</f>
        <v>Suggestion</v>
      </c>
      <c r="G166" s="32" t="str">
        <f aca="false">IF(Raw_Data!G169="","",Raw_Data!G169)</f>
        <v>Non-Sensitive</v>
      </c>
      <c r="H166" s="32" t="str">
        <f aca="false">IFERROR(INDEX(Reference_Lists!$C$51:$C$57,MATCH(PROPER(TRIM(Raw_Data!H169)),Reference_Lists!$B$51:$B$57,0)),"UNMATCHED")</f>
        <v>Male</v>
      </c>
      <c r="I166" s="32" t="str">
        <f aca="false">IF(Raw_Data!I169="","",Raw_Data!I169)</f>
        <v>Under 18</v>
      </c>
      <c r="J166" s="32" t="str">
        <f aca="false">IFERROR(INDEX(Reference_Lists!$C$58:$C$65,MATCH(PROPER(TRIM(Raw_Data!J169)),Reference_Lists!$B$58:$B$65,0)),"UNMATCHED")</f>
        <v>Open</v>
      </c>
      <c r="K166" s="30" t="str">
        <f aca="false">IF(Raw_Data!K169="","",IF(ISTEXT(Raw_Data!K169),IFERROR(DATE(VALUE(RIGHT(TRIM(Raw_Data!K169),4)),VALUE(MID(TRIM(Raw_Data!K169),4,2)),VALUE(LEFT(TRIM(Raw_Data!K169),2))),"CHECK"),Raw_Data!K169))</f>
        <v/>
      </c>
      <c r="L166" s="33" t="str">
        <f aca="false">IF(Raw_Data!L169="","",Raw_Data!L169)</f>
        <v>Distribution point is far and transport cost is high for our family.</v>
      </c>
      <c r="M166" s="34" t="str">
        <f aca="false">IF(OR(B166="",K166=""),"",IFERROR(K166-B166,"CHECK"))</f>
        <v/>
      </c>
      <c r="N166" s="34" t="n">
        <f aca="false">IFERROR(INDEX(Reference_Lists!$H$13:$H$14,MATCH(G166,Reference_Lists!$G$13:$G$14,0)),"UNMATCHED")</f>
        <v>15</v>
      </c>
      <c r="O166" s="32" t="str">
        <f aca="false">IF(AND(J166="Closed",ISNUMBER(M166),ISNUMBER(N166),M166&gt;=0),M166&lt;=N166,"NOT ASSESSED")</f>
        <v>NOT ASSESSED</v>
      </c>
      <c r="P166" s="36" t="str">
        <f aca="false">Raw_Data!A169</f>
        <v>CFM-2026-0118</v>
      </c>
      <c r="Q166" s="37" t="str">
        <f aca="false">IFERROR(IF(OR($A166="",$P166=""),"MISSING ID",IF(EXACT($A166,$P166),"ALIGNED","MISMATCH")),"CHECK")</f>
        <v>ALIGNED</v>
      </c>
    </row>
    <row r="167" customFormat="false" ht="19.5" hidden="false" customHeight="true" outlineLevel="0" collapsed="false">
      <c r="A167" s="29" t="s">
        <v>283</v>
      </c>
      <c r="B167" s="30" t="n">
        <f aca="false">IF(Raw_Data!B170="","",IF(ISTEXT(Raw_Data!B170),IFERROR(DATE(VALUE(RIGHT(TRIM(Raw_Data!B170),4)),VALUE(MID(TRIM(Raw_Data!B170),4,2)),VALUE(LEFT(TRIM(Raw_Data!B170),2))),"CHECK"),Raw_Data!B170))</f>
        <v>46104</v>
      </c>
      <c r="C167" s="31" t="str">
        <f aca="false">IFERROR(INDEX(Reference_Lists!$C$23:$C$35,MATCH(PROPER(TRIM(Raw_Data!C170)),Reference_Lists!$B$23:$B$35,0)),"UNMATCHED")</f>
        <v>Phone Hotline</v>
      </c>
      <c r="D167" s="31" t="str">
        <f aca="false">IFERROR(INDEX(Reference_Lists!$C$36:$C$50,MATCH(PROPER(TRIM(Raw_Data!D170)),Reference_Lists!$B$36:$B$50,0)),"UNMATCHED")</f>
        <v>Rafah</v>
      </c>
      <c r="E167" s="31" t="str">
        <f aca="false">IF(Raw_Data!E170="","",Raw_Data!E170)</f>
        <v>Health</v>
      </c>
      <c r="F167" s="31" t="str">
        <f aca="false">IF(Raw_Data!F170="","",Raw_Data!F170)</f>
        <v>Request for Information</v>
      </c>
      <c r="G167" s="32" t="str">
        <f aca="false">IF(Raw_Data!G170="","",Raw_Data!G170)</f>
        <v>Non-Sensitive</v>
      </c>
      <c r="H167" s="32" t="str">
        <f aca="false">IFERROR(INDEX(Reference_Lists!$C$51:$C$57,MATCH(PROPER(TRIM(Raw_Data!H170)),Reference_Lists!$B$51:$B$57,0)),"UNMATCHED")</f>
        <v>Female</v>
      </c>
      <c r="I167" s="32" t="str">
        <f aca="false">IF(Raw_Data!I170="","",Raw_Data!I170)</f>
        <v>30-44</v>
      </c>
      <c r="J167" s="32" t="str">
        <f aca="false">IFERROR(INDEX(Reference_Lists!$C$58:$C$65,MATCH(PROPER(TRIM(Raw_Data!J170)),Reference_Lists!$B$58:$B$65,0)),"UNMATCHED")</f>
        <v>Closed</v>
      </c>
      <c r="K167" s="30" t="n">
        <f aca="false">IF(Raw_Data!K170="","",IF(ISTEXT(Raw_Data!K170),IFERROR(DATE(VALUE(RIGHT(TRIM(Raw_Data!K170),4)),VALUE(MID(TRIM(Raw_Data!K170),4,2)),VALUE(LEFT(TRIM(Raw_Data!K170),2))),"CHECK"),Raw_Data!K170))</f>
        <v>46098</v>
      </c>
      <c r="L167" s="33" t="str">
        <f aca="false">IF(Raw_Data!L170="","",Raw_Data!L170)</f>
        <v>Requesting a referral pathway for a family member with limited mobility.</v>
      </c>
      <c r="M167" s="34" t="n">
        <f aca="false">IF(OR(B167="",K167=""),"",IFERROR(K167-B167,"CHECK"))</f>
        <v>-6</v>
      </c>
      <c r="N167" s="34" t="n">
        <f aca="false">IFERROR(INDEX(Reference_Lists!$H$13:$H$14,MATCH(G167,Reference_Lists!$G$13:$G$14,0)),"UNMATCHED")</f>
        <v>15</v>
      </c>
      <c r="O167" s="32" t="str">
        <f aca="false">IF(AND(J167="Closed",ISNUMBER(M167),ISNUMBER(N167),M167&gt;=0),M167&lt;=N167,"NOT ASSESSED")</f>
        <v>NOT ASSESSED</v>
      </c>
      <c r="P167" s="36" t="str">
        <f aca="false">Raw_Data!A170</f>
        <v>CFM-2026-0183</v>
      </c>
      <c r="Q167" s="37" t="str">
        <f aca="false">IFERROR(IF(OR($A167="",$P167=""),"MISSING ID",IF(EXACT($A167,$P167),"ALIGNED","MISMATCH")),"CHECK")</f>
        <v>ALIGNED</v>
      </c>
    </row>
    <row r="168" customFormat="false" ht="19.5" hidden="false" customHeight="true" outlineLevel="0" collapsed="false">
      <c r="A168" s="29" t="s">
        <v>284</v>
      </c>
      <c r="B168" s="30" t="n">
        <f aca="false">IF(Raw_Data!B171="","",IF(ISTEXT(Raw_Data!B171),IFERROR(DATE(VALUE(RIGHT(TRIM(Raw_Data!B171),4)),VALUE(MID(TRIM(Raw_Data!B171),4,2)),VALUE(LEFT(TRIM(Raw_Data!B171),2))),"CHECK"),Raw_Data!B171))</f>
        <v>46160</v>
      </c>
      <c r="C168" s="31" t="str">
        <f aca="false">IFERROR(INDEX(Reference_Lists!$C$23:$C$35,MATCH(PROPER(TRIM(Raw_Data!C171)),Reference_Lists!$B$23:$B$35,0)),"UNMATCHED")</f>
        <v>Community Focal Point</v>
      </c>
      <c r="D168" s="31" t="str">
        <f aca="false">IFERROR(INDEX(Reference_Lists!$C$36:$C$50,MATCH(PROPER(TRIM(Raw_Data!D171)),Reference_Lists!$B$36:$B$50,0)),"UNMATCHED")</f>
        <v>Nuseirat</v>
      </c>
      <c r="E168" s="31" t="str">
        <f aca="false">IF(Raw_Data!E171="","",Raw_Data!E171)</f>
        <v>Health</v>
      </c>
      <c r="F168" s="31" t="str">
        <f aca="false">IF(Raw_Data!F171="","",Raw_Data!F171)</f>
        <v>Complaint</v>
      </c>
      <c r="G168" s="32" t="str">
        <f aca="false">IF(Raw_Data!G171="","",Raw_Data!G171)</f>
        <v>Non-Sensitive</v>
      </c>
      <c r="H168" s="32" t="str">
        <f aca="false">IFERROR(INDEX(Reference_Lists!$C$51:$C$57,MATCH(PROPER(TRIM(Raw_Data!H171)),Reference_Lists!$B$51:$B$57,0)),"UNMATCHED")</f>
        <v>Male</v>
      </c>
      <c r="I168" s="32" t="str">
        <f aca="false">IF(Raw_Data!I171="","",Raw_Data!I171)</f>
        <v>60+</v>
      </c>
      <c r="J168" s="32" t="str">
        <f aca="false">IFERROR(INDEX(Reference_Lists!$C$58:$C$65,MATCH(PROPER(TRIM(Raw_Data!J171)),Reference_Lists!$B$58:$B$65,0)),"UNMATCHED")</f>
        <v>Referred</v>
      </c>
      <c r="K168" s="30" t="str">
        <f aca="false">IF(Raw_Data!K171="","",IF(ISTEXT(Raw_Data!K171),IFERROR(DATE(VALUE(RIGHT(TRIM(Raw_Data!K171),4)),VALUE(MID(TRIM(Raw_Data!K171),4,2)),VALUE(LEFT(TRIM(Raw_Data!K171),2))),"CHECK"),Raw_Data!K171))</f>
        <v/>
      </c>
      <c r="L168" s="33" t="str">
        <f aca="false">IF(Raw_Data!L171="","",Raw_Data!L171)</f>
        <v>Requesting a referral pathway for a family member with limited mobility.</v>
      </c>
      <c r="M168" s="34" t="str">
        <f aca="false">IF(OR(B168="",K168=""),"",IFERROR(K168-B168,"CHECK"))</f>
        <v/>
      </c>
      <c r="N168" s="34" t="n">
        <f aca="false">IFERROR(INDEX(Reference_Lists!$H$13:$H$14,MATCH(G168,Reference_Lists!$G$13:$G$14,0)),"UNMATCHED")</f>
        <v>15</v>
      </c>
      <c r="O168" s="32" t="str">
        <f aca="false">IF(AND(J168="Closed",ISNUMBER(M168),ISNUMBER(N168),M168&gt;=0),M168&lt;=N168,"NOT ASSESSED")</f>
        <v>NOT ASSESSED</v>
      </c>
      <c r="P168" s="36" t="str">
        <f aca="false">Raw_Data!A171</f>
        <v>CFM-2026-0049</v>
      </c>
      <c r="Q168" s="37" t="str">
        <f aca="false">IFERROR(IF(OR($A168="",$P168=""),"MISSING ID",IF(EXACT($A168,$P168),"ALIGNED","MISMATCH")),"CHECK")</f>
        <v>ALIGNED</v>
      </c>
    </row>
    <row r="169" customFormat="false" ht="19.5" hidden="false" customHeight="true" outlineLevel="0" collapsed="false">
      <c r="A169" s="29" t="s">
        <v>285</v>
      </c>
      <c r="B169" s="30" t="n">
        <f aca="false">IF(Raw_Data!B172="","",IF(ISTEXT(Raw_Data!B172),IFERROR(DATE(VALUE(RIGHT(TRIM(Raw_Data!B172),4)),VALUE(MID(TRIM(Raw_Data!B172),4,2)),VALUE(LEFT(TRIM(Raw_Data!B172),2))),"CHECK"),Raw_Data!B172))</f>
        <v>46214</v>
      </c>
      <c r="C169" s="31" t="str">
        <f aca="false">IFERROR(INDEX(Reference_Lists!$C$23:$C$35,MATCH(PROPER(TRIM(Raw_Data!C172)),Reference_Lists!$B$23:$B$35,0)),"UNMATCHED")</f>
        <v>Help Desk</v>
      </c>
      <c r="D169" s="31" t="str">
        <f aca="false">IFERROR(INDEX(Reference_Lists!$C$36:$C$50,MATCH(PROPER(TRIM(Raw_Data!D172)),Reference_Lists!$B$36:$B$50,0)),"UNMATCHED")</f>
        <v>Jabalia</v>
      </c>
      <c r="E169" s="31" t="str">
        <f aca="false">IF(Raw_Data!E172="","",Raw_Data!E172)</f>
        <v>WASH</v>
      </c>
      <c r="F169" s="31" t="str">
        <f aca="false">IF(Raw_Data!F172="","",Raw_Data!F172)</f>
        <v>Appreciation</v>
      </c>
      <c r="G169" s="32" t="str">
        <f aca="false">IF(Raw_Data!G172="","",Raw_Data!G172)</f>
        <v>Non-Sensitive</v>
      </c>
      <c r="H169" s="32" t="str">
        <f aca="false">IFERROR(INDEX(Reference_Lists!$C$51:$C$57,MATCH(PROPER(TRIM(Raw_Data!H172)),Reference_Lists!$B$51:$B$57,0)),"UNMATCHED")</f>
        <v>Female</v>
      </c>
      <c r="I169" s="32" t="str">
        <f aca="false">IF(Raw_Data!I172="","",Raw_Data!I172)</f>
        <v>30-44</v>
      </c>
      <c r="J169" s="32" t="str">
        <f aca="false">IFERROR(INDEX(Reference_Lists!$C$58:$C$65,MATCH(PROPER(TRIM(Raw_Data!J172)),Reference_Lists!$B$58:$B$65,0)),"UNMATCHED")</f>
        <v>Closed</v>
      </c>
      <c r="K169" s="30" t="n">
        <f aca="false">IF(Raw_Data!K172="","",IF(ISTEXT(Raw_Data!K172),IFERROR(DATE(VALUE(RIGHT(TRIM(Raw_Data!K172),4)),VALUE(MID(TRIM(Raw_Data!K172),4,2)),VALUE(LEFT(TRIM(Raw_Data!K172),2))),"CHECK"),Raw_Data!K172))</f>
        <v>46241</v>
      </c>
      <c r="L169" s="33" t="str">
        <f aca="false">IF(Raw_Data!L172="","",Raw_Data!L172)</f>
        <v>Latrine at the site block needs cleaning and lighting at night.</v>
      </c>
      <c r="M169" s="34" t="n">
        <f aca="false">IF(OR(B169="",K169=""),"",IFERROR(K169-B169,"CHECK"))</f>
        <v>27</v>
      </c>
      <c r="N169" s="34" t="n">
        <f aca="false">IFERROR(INDEX(Reference_Lists!$H$13:$H$14,MATCH(G169,Reference_Lists!$G$13:$G$14,0)),"UNMATCHED")</f>
        <v>15</v>
      </c>
      <c r="O169" s="35" t="b">
        <f aca="false">IF(AND(J169="Closed",ISNUMBER(M169),ISNUMBER(N169),M169&gt;=0),M169&lt;=N169,"NOT ASSESSED")</f>
        <v>0</v>
      </c>
      <c r="P169" s="36" t="str">
        <f aca="false">Raw_Data!A172</f>
        <v>CFM-2026-0469</v>
      </c>
      <c r="Q169" s="37" t="str">
        <f aca="false">IFERROR(IF(OR($A169="",$P169=""),"MISSING ID",IF(EXACT($A169,$P169),"ALIGNED","MISMATCH")),"CHECK")</f>
        <v>ALIGNED</v>
      </c>
    </row>
    <row r="170" customFormat="false" ht="19.5" hidden="false" customHeight="true" outlineLevel="0" collapsed="false">
      <c r="A170" s="29" t="s">
        <v>286</v>
      </c>
      <c r="B170" s="30" t="n">
        <f aca="false">IF(Raw_Data!B173="","",IF(ISTEXT(Raw_Data!B173),IFERROR(DATE(VALUE(RIGHT(TRIM(Raw_Data!B173),4)),VALUE(MID(TRIM(Raw_Data!B173),4,2)),VALUE(LEFT(TRIM(Raw_Data!B173),2))),"CHECK"),Raw_Data!B173))</f>
        <v>46131</v>
      </c>
      <c r="C170" s="31" t="str">
        <f aca="false">IFERROR(INDEX(Reference_Lists!$C$23:$C$35,MATCH(PROPER(TRIM(Raw_Data!C173)),Reference_Lists!$B$23:$B$35,0)),"UNMATCHED")</f>
        <v>In-Person at Distribution</v>
      </c>
      <c r="D170" s="31" t="str">
        <f aca="false">IFERROR(INDEX(Reference_Lists!$C$36:$C$50,MATCH(PROPER(TRIM(Raw_Data!D173)),Reference_Lists!$B$36:$B$50,0)),"UNMATCHED")</f>
        <v>Jabalia</v>
      </c>
      <c r="E170" s="31" t="str">
        <f aca="false">IF(Raw_Data!E173="","",Raw_Data!E173)</f>
        <v>Food Security</v>
      </c>
      <c r="F170" s="31" t="str">
        <f aca="false">IF(Raw_Data!F173="","",Raw_Data!F173)</f>
        <v>Complaint</v>
      </c>
      <c r="G170" s="32" t="str">
        <f aca="false">IF(Raw_Data!G173="","",Raw_Data!G173)</f>
        <v>Non-Sensitive</v>
      </c>
      <c r="H170" s="32" t="str">
        <f aca="false">IFERROR(INDEX(Reference_Lists!$C$51:$C$57,MATCH(PROPER(TRIM(Raw_Data!H173)),Reference_Lists!$B$51:$B$57,0)),"UNMATCHED")</f>
        <v>Female</v>
      </c>
      <c r="I170" s="32" t="str">
        <f aca="false">IF(Raw_Data!I173="","",Raw_Data!I173)</f>
        <v>45-59</v>
      </c>
      <c r="J170" s="32" t="str">
        <f aca="false">IFERROR(INDEX(Reference_Lists!$C$58:$C$65,MATCH(PROPER(TRIM(Raw_Data!J173)),Reference_Lists!$B$58:$B$65,0)),"UNMATCHED")</f>
        <v>Closed</v>
      </c>
      <c r="K170" s="30" t="n">
        <f aca="false">IF(Raw_Data!K173="","",IF(ISTEXT(Raw_Data!K173),IFERROR(DATE(VALUE(RIGHT(TRIM(Raw_Data!K173),4)),VALUE(MID(TRIM(Raw_Data!K173),4,2)),VALUE(LEFT(TRIM(Raw_Data!K173),2))),"CHECK"),Raw_Data!K173))</f>
        <v>46144</v>
      </c>
      <c r="L170" s="33" t="str">
        <f aca="false">IF(Raw_Data!L173="","",Raw_Data!L173)</f>
        <v>Asking how the beneficiary list for the next round is prepared.</v>
      </c>
      <c r="M170" s="34" t="n">
        <f aca="false">IF(OR(B170="",K170=""),"",IFERROR(K170-B170,"CHECK"))</f>
        <v>13</v>
      </c>
      <c r="N170" s="34" t="n">
        <f aca="false">IFERROR(INDEX(Reference_Lists!$H$13:$H$14,MATCH(G170,Reference_Lists!$G$13:$G$14,0)),"UNMATCHED")</f>
        <v>15</v>
      </c>
      <c r="O170" s="35" t="b">
        <f aca="false">IF(AND(J170="Closed",ISNUMBER(M170),ISNUMBER(N170),M170&gt;=0),M170&lt;=N170,"NOT ASSESSED")</f>
        <v>1</v>
      </c>
      <c r="P170" s="36" t="str">
        <f aca="false">Raw_Data!A173</f>
        <v>CFM-2026-0081</v>
      </c>
      <c r="Q170" s="37" t="str">
        <f aca="false">IFERROR(IF(OR($A170="",$P170=""),"MISSING ID",IF(EXACT($A170,$P170),"ALIGNED","MISMATCH")),"CHECK")</f>
        <v>ALIGNED</v>
      </c>
    </row>
    <row r="171" customFormat="false" ht="19.5" hidden="false" customHeight="true" outlineLevel="0" collapsed="false">
      <c r="A171" s="29" t="s">
        <v>287</v>
      </c>
      <c r="B171" s="30" t="n">
        <f aca="false">IF(Raw_Data!B174="","",IF(ISTEXT(Raw_Data!B174),IFERROR(DATE(VALUE(RIGHT(TRIM(Raw_Data!B174),4)),VALUE(MID(TRIM(Raw_Data!B174),4,2)),VALUE(LEFT(TRIM(Raw_Data!B174),2))),"CHECK"),Raw_Data!B174))</f>
        <v>46171</v>
      </c>
      <c r="C171" s="31" t="str">
        <f aca="false">IFERROR(INDEX(Reference_Lists!$C$23:$C$35,MATCH(PROPER(TRIM(Raw_Data!C174)),Reference_Lists!$B$23:$B$35,0)),"UNMATCHED")</f>
        <v>In-Person at Distribution</v>
      </c>
      <c r="D171" s="31" t="str">
        <f aca="false">IFERROR(INDEX(Reference_Lists!$C$36:$C$50,MATCH(PROPER(TRIM(Raw_Data!D174)),Reference_Lists!$B$36:$B$50,0)),"UNMATCHED")</f>
        <v>Gaza City</v>
      </c>
      <c r="E171" s="31" t="str">
        <f aca="false">IF(Raw_Data!E174="","",Raw_Data!E174)</f>
        <v>Shelter</v>
      </c>
      <c r="F171" s="31" t="str">
        <f aca="false">IF(Raw_Data!F174="","",Raw_Data!F174)</f>
        <v>Complaint</v>
      </c>
      <c r="G171" s="32" t="str">
        <f aca="false">IF(Raw_Data!G174="","",Raw_Data!G174)</f>
        <v>Non-Sensitive</v>
      </c>
      <c r="H171" s="32" t="str">
        <f aca="false">IFERROR(INDEX(Reference_Lists!$C$51:$C$57,MATCH(PROPER(TRIM(Raw_Data!H174)),Reference_Lists!$B$51:$B$57,0)),"UNMATCHED")</f>
        <v>Male</v>
      </c>
      <c r="I171" s="32" t="str">
        <f aca="false">IF(Raw_Data!I174="","",Raw_Data!I174)</f>
        <v>18-29</v>
      </c>
      <c r="J171" s="32" t="str">
        <f aca="false">IFERROR(INDEX(Reference_Lists!$C$58:$C$65,MATCH(PROPER(TRIM(Raw_Data!J174)),Reference_Lists!$B$58:$B$65,0)),"UNMATCHED")</f>
        <v>Closed</v>
      </c>
      <c r="K171" s="30" t="n">
        <f aca="false">IF(Raw_Data!K174="","",IF(ISTEXT(Raw_Data!K174),IFERROR(DATE(VALUE(RIGHT(TRIM(Raw_Data!K174),4)),VALUE(MID(TRIM(Raw_Data!K174),4,2)),VALUE(LEFT(TRIM(Raw_Data!K174),2))),"CHECK"),Raw_Data!K174))</f>
        <v>46174</v>
      </c>
      <c r="L171" s="33" t="str">
        <f aca="false">IF(Raw_Data!L174="","",Raw_Data!L174)</f>
        <v>Requesting information about the criteria for shelter repair kits.</v>
      </c>
      <c r="M171" s="34" t="n">
        <f aca="false">IF(OR(B171="",K171=""),"",IFERROR(K171-B171,"CHECK"))</f>
        <v>3</v>
      </c>
      <c r="N171" s="34" t="n">
        <f aca="false">IFERROR(INDEX(Reference_Lists!$H$13:$H$14,MATCH(G171,Reference_Lists!$G$13:$G$14,0)),"UNMATCHED")</f>
        <v>15</v>
      </c>
      <c r="O171" s="35" t="b">
        <f aca="false">IF(AND(J171="Closed",ISNUMBER(M171),ISNUMBER(N171),M171&gt;=0),M171&lt;=N171,"NOT ASSESSED")</f>
        <v>1</v>
      </c>
      <c r="P171" s="36" t="str">
        <f aca="false">Raw_Data!A174</f>
        <v>CFM-2026-0450</v>
      </c>
      <c r="Q171" s="37" t="str">
        <f aca="false">IFERROR(IF(OR($A171="",$P171=""),"MISSING ID",IF(EXACT($A171,$P171),"ALIGNED","MISMATCH")),"CHECK")</f>
        <v>ALIGNED</v>
      </c>
    </row>
    <row r="172" customFormat="false" ht="19.5" hidden="false" customHeight="true" outlineLevel="0" collapsed="false">
      <c r="A172" s="29" t="s">
        <v>288</v>
      </c>
      <c r="B172" s="30" t="n">
        <f aca="false">IF(Raw_Data!B175="","",IF(ISTEXT(Raw_Data!B175),IFERROR(DATE(VALUE(RIGHT(TRIM(Raw_Data!B175),4)),VALUE(MID(TRIM(Raw_Data!B175),4,2)),VALUE(LEFT(TRIM(Raw_Data!B175),2))),"CHECK"),Raw_Data!B175))</f>
        <v>46193</v>
      </c>
      <c r="C172" s="31" t="str">
        <f aca="false">IFERROR(INDEX(Reference_Lists!$C$23:$C$35,MATCH(PROPER(TRIM(Raw_Data!C175)),Reference_Lists!$B$23:$B$35,0)),"UNMATCHED")</f>
        <v>Suggestion Box</v>
      </c>
      <c r="D172" s="31" t="str">
        <f aca="false">IFERROR(INDEX(Reference_Lists!$C$36:$C$50,MATCH(PROPER(TRIM(Raw_Data!D175)),Reference_Lists!$B$36:$B$50,0)),"UNMATCHED")</f>
        <v>Rafah</v>
      </c>
      <c r="E172" s="31" t="str">
        <f aca="false">IF(Raw_Data!E175="","",Raw_Data!E175)</f>
        <v>Health</v>
      </c>
      <c r="F172" s="31" t="str">
        <f aca="false">IF(Raw_Data!F175="","",Raw_Data!F175)</f>
        <v>Complaint</v>
      </c>
      <c r="G172" s="32" t="str">
        <f aca="false">IF(Raw_Data!G175="","",Raw_Data!G175)</f>
        <v>Non-Sensitive</v>
      </c>
      <c r="H172" s="32" t="str">
        <f aca="false">IFERROR(INDEX(Reference_Lists!$C$51:$C$57,MATCH(PROPER(TRIM(Raw_Data!H175)),Reference_Lists!$B$51:$B$57,0)),"UNMATCHED")</f>
        <v>Female</v>
      </c>
      <c r="I172" s="32" t="str">
        <f aca="false">IF(Raw_Data!I175="","",Raw_Data!I175)</f>
        <v>30-44</v>
      </c>
      <c r="J172" s="32" t="str">
        <f aca="false">IFERROR(INDEX(Reference_Lists!$C$58:$C$65,MATCH(PROPER(TRIM(Raw_Data!J175)),Reference_Lists!$B$58:$B$65,0)),"UNMATCHED")</f>
        <v>Closed</v>
      </c>
      <c r="K172" s="30" t="n">
        <f aca="false">IF(Raw_Data!K175="","",IF(ISTEXT(Raw_Data!K175),IFERROR(DATE(VALUE(RIGHT(TRIM(Raw_Data!K175),4)),VALUE(MID(TRIM(Raw_Data!K175),4,2)),VALUE(LEFT(TRIM(Raw_Data!K175),2))),"CHECK"),Raw_Data!K175))</f>
        <v>46213</v>
      </c>
      <c r="L172" s="33" t="str">
        <f aca="false">IF(Raw_Data!L175="","",Raw_Data!L175)</f>
        <v>Clinic opening hours are not clear to the community.</v>
      </c>
      <c r="M172" s="34" t="n">
        <f aca="false">IF(OR(B172="",K172=""),"",IFERROR(K172-B172,"CHECK"))</f>
        <v>20</v>
      </c>
      <c r="N172" s="34" t="n">
        <f aca="false">IFERROR(INDEX(Reference_Lists!$H$13:$H$14,MATCH(G172,Reference_Lists!$G$13:$G$14,0)),"UNMATCHED")</f>
        <v>15</v>
      </c>
      <c r="O172" s="35" t="b">
        <f aca="false">IF(AND(J172="Closed",ISNUMBER(M172),ISNUMBER(N172),M172&gt;=0),M172&lt;=N172,"NOT ASSESSED")</f>
        <v>0</v>
      </c>
      <c r="P172" s="36" t="str">
        <f aca="false">Raw_Data!A175</f>
        <v>CFM-2026-0449</v>
      </c>
      <c r="Q172" s="37" t="str">
        <f aca="false">IFERROR(IF(OR($A172="",$P172=""),"MISSING ID",IF(EXACT($A172,$P172),"ALIGNED","MISMATCH")),"CHECK")</f>
        <v>ALIGNED</v>
      </c>
    </row>
    <row r="173" customFormat="false" ht="19.5" hidden="false" customHeight="true" outlineLevel="0" collapsed="false">
      <c r="A173" s="29" t="s">
        <v>290</v>
      </c>
      <c r="B173" s="30" t="n">
        <f aca="false">IF(Raw_Data!B176="","",IF(ISTEXT(Raw_Data!B176),IFERROR(DATE(VALUE(RIGHT(TRIM(Raw_Data!B176),4)),VALUE(MID(TRIM(Raw_Data!B176),4,2)),VALUE(LEFT(TRIM(Raw_Data!B176),2))),"CHECK"),Raw_Data!B176))</f>
        <v>46031</v>
      </c>
      <c r="C173" s="31" t="str">
        <f aca="false">IFERROR(INDEX(Reference_Lists!$C$23:$C$35,MATCH(PROPER(TRIM(Raw_Data!C176)),Reference_Lists!$B$23:$B$35,0)),"UNMATCHED")</f>
        <v>Help Desk</v>
      </c>
      <c r="D173" s="31" t="str">
        <f aca="false">IFERROR(INDEX(Reference_Lists!$C$36:$C$50,MATCH(PROPER(TRIM(Raw_Data!D176)),Reference_Lists!$B$36:$B$50,0)),"UNMATCHED")</f>
        <v>Rafah</v>
      </c>
      <c r="E173" s="31" t="str">
        <f aca="false">IF(Raw_Data!E176="","",Raw_Data!E176)</f>
        <v>Health</v>
      </c>
      <c r="F173" s="31" t="str">
        <f aca="false">IF(Raw_Data!F176="","",Raw_Data!F176)</f>
        <v>Complaint</v>
      </c>
      <c r="G173" s="32" t="str">
        <f aca="false">IF(Raw_Data!G176="","",Raw_Data!G176)</f>
        <v>Non-Sensitive</v>
      </c>
      <c r="H173" s="32" t="str">
        <f aca="false">IFERROR(INDEX(Reference_Lists!$C$51:$C$57,MATCH(PROPER(TRIM(Raw_Data!H176)),Reference_Lists!$B$51:$B$57,0)),"UNMATCHED")</f>
        <v>Female</v>
      </c>
      <c r="I173" s="32" t="str">
        <f aca="false">IF(Raw_Data!I176="","",Raw_Data!I176)</f>
        <v>18-29</v>
      </c>
      <c r="J173" s="32" t="str">
        <f aca="false">IFERROR(INDEX(Reference_Lists!$C$58:$C$65,MATCH(PROPER(TRIM(Raw_Data!J176)),Reference_Lists!$B$58:$B$65,0)),"UNMATCHED")</f>
        <v>Referred</v>
      </c>
      <c r="K173" s="30" t="str">
        <f aca="false">IF(Raw_Data!K176="","",IF(ISTEXT(Raw_Data!K176),IFERROR(DATE(VALUE(RIGHT(TRIM(Raw_Data!K176),4)),VALUE(MID(TRIM(Raw_Data!K176),4,2)),VALUE(LEFT(TRIM(Raw_Data!K176),2))),"CHECK"),Raw_Data!K176))</f>
        <v/>
      </c>
      <c r="L173" s="33" t="str">
        <f aca="false">IF(Raw_Data!L176="","",Raw_Data!L176)</f>
        <v>Clinic opening hours are not clear to the community.</v>
      </c>
      <c r="M173" s="34" t="str">
        <f aca="false">IF(OR(B173="",K173=""),"",IFERROR(K173-B173,"CHECK"))</f>
        <v/>
      </c>
      <c r="N173" s="34" t="n">
        <f aca="false">IFERROR(INDEX(Reference_Lists!$H$13:$H$14,MATCH(G173,Reference_Lists!$G$13:$G$14,0)),"UNMATCHED")</f>
        <v>15</v>
      </c>
      <c r="O173" s="32" t="str">
        <f aca="false">IF(AND(J173="Closed",ISNUMBER(M173),ISNUMBER(N173),M173&gt;=0),M173&lt;=N173,"NOT ASSESSED")</f>
        <v>NOT ASSESSED</v>
      </c>
      <c r="P173" s="36" t="str">
        <f aca="false">Raw_Data!A176</f>
        <v>CFM-2026-0338</v>
      </c>
      <c r="Q173" s="37" t="str">
        <f aca="false">IFERROR(IF(OR($A173="",$P173=""),"MISSING ID",IF(EXACT($A173,$P173),"ALIGNED","MISMATCH")),"CHECK")</f>
        <v>ALIGNED</v>
      </c>
    </row>
    <row r="174" customFormat="false" ht="19.5" hidden="false" customHeight="true" outlineLevel="0" collapsed="false">
      <c r="A174" s="29" t="s">
        <v>291</v>
      </c>
      <c r="B174" s="30" t="n">
        <f aca="false">IF(Raw_Data!B177="","",IF(ISTEXT(Raw_Data!B177),IFERROR(DATE(VALUE(RIGHT(TRIM(Raw_Data!B177),4)),VALUE(MID(TRIM(Raw_Data!B177),4,2)),VALUE(LEFT(TRIM(Raw_Data!B177),2))),"CHECK"),Raw_Data!B177))</f>
        <v>46121</v>
      </c>
      <c r="C174" s="31" t="str">
        <f aca="false">IFERROR(INDEX(Reference_Lists!$C$23:$C$35,MATCH(PROPER(TRIM(Raw_Data!C177)),Reference_Lists!$B$23:$B$35,0)),"UNMATCHED")</f>
        <v>Suggestion Box</v>
      </c>
      <c r="D174" s="31" t="str">
        <f aca="false">IFERROR(INDEX(Reference_Lists!$C$36:$C$50,MATCH(PROPER(TRIM(Raw_Data!D177)),Reference_Lists!$B$36:$B$50,0)),"UNMATCHED")</f>
        <v>Jabalia</v>
      </c>
      <c r="E174" s="31" t="str">
        <f aca="false">IF(Raw_Data!E177="","",Raw_Data!E177)</f>
        <v>Food Security</v>
      </c>
      <c r="F174" s="31" t="str">
        <f aca="false">IF(Raw_Data!F177="","",Raw_Data!F177)</f>
        <v>Suggestion</v>
      </c>
      <c r="G174" s="32" t="str">
        <f aca="false">IF(Raw_Data!G177="","",Raw_Data!G177)</f>
        <v>Non-Sensitive</v>
      </c>
      <c r="H174" s="32" t="str">
        <f aca="false">IFERROR(INDEX(Reference_Lists!$C$51:$C$57,MATCH(PROPER(TRIM(Raw_Data!H177)),Reference_Lists!$B$51:$B$57,0)),"UNMATCHED")</f>
        <v>Female</v>
      </c>
      <c r="I174" s="32" t="str">
        <f aca="false">IF(Raw_Data!I177="","",Raw_Data!I177)</f>
        <v>30-44</v>
      </c>
      <c r="J174" s="32" t="str">
        <f aca="false">IFERROR(INDEX(Reference_Lists!$C$58:$C$65,MATCH(PROPER(TRIM(Raw_Data!J177)),Reference_Lists!$B$58:$B$65,0)),"UNMATCHED")</f>
        <v>Closed</v>
      </c>
      <c r="K174" s="30" t="n">
        <f aca="false">IF(Raw_Data!K177="","",IF(ISTEXT(Raw_Data!K177),IFERROR(DATE(VALUE(RIGHT(TRIM(Raw_Data!K177),4)),VALUE(MID(TRIM(Raw_Data!K177),4,2)),VALUE(LEFT(TRIM(Raw_Data!K177),2))),"CHECK"),Raw_Data!K177))</f>
        <v>46140</v>
      </c>
      <c r="L174" s="33" t="str">
        <f aca="false">IF(Raw_Data!L177="","",Raw_Data!L177)</f>
        <v>Thanking the team for organising the last distribution well.</v>
      </c>
      <c r="M174" s="34" t="n">
        <f aca="false">IF(OR(B174="",K174=""),"",IFERROR(K174-B174,"CHECK"))</f>
        <v>19</v>
      </c>
      <c r="N174" s="34" t="n">
        <f aca="false">IFERROR(INDEX(Reference_Lists!$H$13:$H$14,MATCH(G174,Reference_Lists!$G$13:$G$14,0)),"UNMATCHED")</f>
        <v>15</v>
      </c>
      <c r="O174" s="35" t="b">
        <f aca="false">IF(AND(J174="Closed",ISNUMBER(M174),ISNUMBER(N174),M174&gt;=0),M174&lt;=N174,"NOT ASSESSED")</f>
        <v>0</v>
      </c>
      <c r="P174" s="36" t="str">
        <f aca="false">Raw_Data!A177</f>
        <v>CFM-2026-0335</v>
      </c>
      <c r="Q174" s="37" t="str">
        <f aca="false">IFERROR(IF(OR($A174="",$P174=""),"MISSING ID",IF(EXACT($A174,$P174),"ALIGNED","MISMATCH")),"CHECK")</f>
        <v>ALIGNED</v>
      </c>
    </row>
    <row r="175" customFormat="false" ht="19.5" hidden="false" customHeight="true" outlineLevel="0" collapsed="false">
      <c r="A175" s="29" t="s">
        <v>292</v>
      </c>
      <c r="B175" s="30" t="n">
        <f aca="false">IF(Raw_Data!B178="","",IF(ISTEXT(Raw_Data!B178),IFERROR(DATE(VALUE(RIGHT(TRIM(Raw_Data!B178),4)),VALUE(MID(TRIM(Raw_Data!B178),4,2)),VALUE(LEFT(TRIM(Raw_Data!B178),2))),"CHECK"),Raw_Data!B178))</f>
        <v>46080</v>
      </c>
      <c r="C175" s="31" t="str">
        <f aca="false">IFERROR(INDEX(Reference_Lists!$C$23:$C$35,MATCH(PROPER(TRIM(Raw_Data!C178)),Reference_Lists!$B$23:$B$35,0)),"UNMATCHED")</f>
        <v>Community Focal Point</v>
      </c>
      <c r="D175" s="31" t="str">
        <f aca="false">IFERROR(INDEX(Reference_Lists!$C$36:$C$50,MATCH(PROPER(TRIM(Raw_Data!D178)),Reference_Lists!$B$36:$B$50,0)),"UNMATCHED")</f>
        <v>Gaza City</v>
      </c>
      <c r="E175" s="31" t="str">
        <f aca="false">IF(Raw_Data!E178="","",Raw_Data!E178)</f>
        <v>Nutrition</v>
      </c>
      <c r="F175" s="31" t="str">
        <f aca="false">IF(Raw_Data!F178="","",Raw_Data!F178)</f>
        <v>Request for Information</v>
      </c>
      <c r="G175" s="32" t="str">
        <f aca="false">IF(Raw_Data!G178="","",Raw_Data!G178)</f>
        <v>Non-Sensitive</v>
      </c>
      <c r="H175" s="32" t="str">
        <f aca="false">IFERROR(INDEX(Reference_Lists!$C$51:$C$57,MATCH(PROPER(TRIM(Raw_Data!H178)),Reference_Lists!$B$51:$B$57,0)),"UNMATCHED")</f>
        <v>Male</v>
      </c>
      <c r="I175" s="32" t="str">
        <f aca="false">IF(Raw_Data!I178="","",Raw_Data!I178)</f>
        <v>18-29</v>
      </c>
      <c r="J175" s="32" t="str">
        <f aca="false">IFERROR(INDEX(Reference_Lists!$C$58:$C$65,MATCH(PROPER(TRIM(Raw_Data!J178)),Reference_Lists!$B$58:$B$65,0)),"UNMATCHED")</f>
        <v>Closed</v>
      </c>
      <c r="K175" s="30" t="n">
        <f aca="false">IF(Raw_Data!K178="","",IF(ISTEXT(Raw_Data!K178),IFERROR(DATE(VALUE(RIGHT(TRIM(Raw_Data!K178),4)),VALUE(MID(TRIM(Raw_Data!K178),4,2)),VALUE(LEFT(TRIM(Raw_Data!K178),2))),"CHECK"),Raw_Data!K178))</f>
        <v>46083</v>
      </c>
      <c r="L175" s="33" t="str">
        <f aca="false">IF(Raw_Data!L178="","",Raw_Data!L178)</f>
        <v>Supplement was received but the guidance sheet was in English only.</v>
      </c>
      <c r="M175" s="34" t="n">
        <f aca="false">IF(OR(B175="",K175=""),"",IFERROR(K175-B175,"CHECK"))</f>
        <v>3</v>
      </c>
      <c r="N175" s="34" t="n">
        <f aca="false">IFERROR(INDEX(Reference_Lists!$H$13:$H$14,MATCH(G175,Reference_Lists!$G$13:$G$14,0)),"UNMATCHED")</f>
        <v>15</v>
      </c>
      <c r="O175" s="35" t="b">
        <f aca="false">IF(AND(J175="Closed",ISNUMBER(M175),ISNUMBER(N175),M175&gt;=0),M175&lt;=N175,"NOT ASSESSED")</f>
        <v>1</v>
      </c>
      <c r="P175" s="36" t="str">
        <f aca="false">Raw_Data!A178</f>
        <v>CFM-2026-0162</v>
      </c>
      <c r="Q175" s="37" t="str">
        <f aca="false">IFERROR(IF(OR($A175="",$P175=""),"MISSING ID",IF(EXACT($A175,$P175),"ALIGNED","MISMATCH")),"CHECK")</f>
        <v>ALIGNED</v>
      </c>
    </row>
    <row r="176" customFormat="false" ht="19.5" hidden="false" customHeight="true" outlineLevel="0" collapsed="false">
      <c r="A176" s="29" t="s">
        <v>293</v>
      </c>
      <c r="B176" s="30" t="n">
        <f aca="false">IF(Raw_Data!B179="","",IF(ISTEXT(Raw_Data!B179),IFERROR(DATE(VALUE(RIGHT(TRIM(Raw_Data!B179),4)),VALUE(MID(TRIM(Raw_Data!B179),4,2)),VALUE(LEFT(TRIM(Raw_Data!B179),2))),"CHECK"),Raw_Data!B179))</f>
        <v>46156</v>
      </c>
      <c r="C176" s="31" t="str">
        <f aca="false">IFERROR(INDEX(Reference_Lists!$C$23:$C$35,MATCH(PROPER(TRIM(Raw_Data!C179)),Reference_Lists!$B$23:$B$35,0)),"UNMATCHED")</f>
        <v>Community Focal Point</v>
      </c>
      <c r="D176" s="31" t="str">
        <f aca="false">IFERROR(INDEX(Reference_Lists!$C$36:$C$50,MATCH(PROPER(TRIM(Raw_Data!D179)),Reference_Lists!$B$36:$B$50,0)),"UNMATCHED")</f>
        <v>Rafah</v>
      </c>
      <c r="E176" s="31" t="str">
        <f aca="false">IF(Raw_Data!E179="","",Raw_Data!E179)</f>
        <v>WASH</v>
      </c>
      <c r="F176" s="31" t="str">
        <f aca="false">IF(Raw_Data!F179="","",Raw_Data!F179)</f>
        <v>Complaint</v>
      </c>
      <c r="G176" s="32" t="str">
        <f aca="false">IF(Raw_Data!G179="","",Raw_Data!G179)</f>
        <v>Non-Sensitive</v>
      </c>
      <c r="H176" s="32" t="str">
        <f aca="false">IFERROR(INDEX(Reference_Lists!$C$51:$C$57,MATCH(PROPER(TRIM(Raw_Data!H179)),Reference_Lists!$B$51:$B$57,0)),"UNMATCHED")</f>
        <v>Male</v>
      </c>
      <c r="I176" s="32" t="str">
        <f aca="false">IF(Raw_Data!I179="","",Raw_Data!I179)</f>
        <v>Under 18</v>
      </c>
      <c r="J176" s="32" t="str">
        <f aca="false">IFERROR(INDEX(Reference_Lists!$C$58:$C$65,MATCH(PROPER(TRIM(Raw_Data!J179)),Reference_Lists!$B$58:$B$65,0)),"UNMATCHED")</f>
        <v>In Progress</v>
      </c>
      <c r="K176" s="30" t="str">
        <f aca="false">IF(Raw_Data!K179="","",IF(ISTEXT(Raw_Data!K179),IFERROR(DATE(VALUE(RIGHT(TRIM(Raw_Data!K179),4)),VALUE(MID(TRIM(Raw_Data!K179),4,2)),VALUE(LEFT(TRIM(Raw_Data!K179),2))),"CHECK"),Raw_Data!K179))</f>
        <v/>
      </c>
      <c r="L176" s="33" t="str">
        <f aca="false">IF(Raw_Data!L179="","",Raw_Data!L179)</f>
        <v>Water truck did not arrive at the agreed time for three consecutive days.</v>
      </c>
      <c r="M176" s="34" t="str">
        <f aca="false">IF(OR(B176="",K176=""),"",IFERROR(K176-B176,"CHECK"))</f>
        <v/>
      </c>
      <c r="N176" s="34" t="n">
        <f aca="false">IFERROR(INDEX(Reference_Lists!$H$13:$H$14,MATCH(G176,Reference_Lists!$G$13:$G$14,0)),"UNMATCHED")</f>
        <v>15</v>
      </c>
      <c r="O176" s="32" t="str">
        <f aca="false">IF(AND(J176="Closed",ISNUMBER(M176),ISNUMBER(N176),M176&gt;=0),M176&lt;=N176,"NOT ASSESSED")</f>
        <v>NOT ASSESSED</v>
      </c>
      <c r="P176" s="36" t="str">
        <f aca="false">Raw_Data!A179</f>
        <v>CFM-2026-0030</v>
      </c>
      <c r="Q176" s="37" t="str">
        <f aca="false">IFERROR(IF(OR($A176="",$P176=""),"MISSING ID",IF(EXACT($A176,$P176),"ALIGNED","MISMATCH")),"CHECK")</f>
        <v>ALIGNED</v>
      </c>
    </row>
    <row r="177" customFormat="false" ht="19.5" hidden="false" customHeight="true" outlineLevel="0" collapsed="false">
      <c r="A177" s="29" t="s">
        <v>294</v>
      </c>
      <c r="B177" s="30" t="n">
        <f aca="false">IF(Raw_Data!B180="","",IF(ISTEXT(Raw_Data!B180),IFERROR(DATE(VALUE(RIGHT(TRIM(Raw_Data!B180),4)),VALUE(MID(TRIM(Raw_Data!B180),4,2)),VALUE(LEFT(TRIM(Raw_Data!B180),2))),"CHECK"),Raw_Data!B180))</f>
        <v>46150</v>
      </c>
      <c r="C177" s="31" t="str">
        <f aca="false">IFERROR(INDEX(Reference_Lists!$C$23:$C$35,MATCH(PROPER(TRIM(Raw_Data!C180)),Reference_Lists!$B$23:$B$35,0)),"UNMATCHED")</f>
        <v>Suggestion Box</v>
      </c>
      <c r="D177" s="31" t="str">
        <f aca="false">IFERROR(INDEX(Reference_Lists!$C$36:$C$50,MATCH(PROPER(TRIM(Raw_Data!D180)),Reference_Lists!$B$36:$B$50,0)),"UNMATCHED")</f>
        <v>Deir al-Balah</v>
      </c>
      <c r="E177" s="31" t="str">
        <f aca="false">IF(Raw_Data!E180="","",Raw_Data!E180)</f>
        <v>Shelter</v>
      </c>
      <c r="F177" s="31" t="str">
        <f aca="false">IF(Raw_Data!F180="","",Raw_Data!F180)</f>
        <v>Appreciation</v>
      </c>
      <c r="G177" s="32" t="str">
        <f aca="false">IF(Raw_Data!G180="","",Raw_Data!G180)</f>
        <v>Non-Sensitive</v>
      </c>
      <c r="H177" s="32" t="str">
        <f aca="false">IFERROR(INDEX(Reference_Lists!$C$51:$C$57,MATCH(PROPER(TRIM(Raw_Data!H180)),Reference_Lists!$B$51:$B$57,0)),"UNMATCHED")</f>
        <v>Male</v>
      </c>
      <c r="I177" s="32" t="str">
        <f aca="false">IF(Raw_Data!I180="","",Raw_Data!I180)</f>
        <v>45-59</v>
      </c>
      <c r="J177" s="32" t="str">
        <f aca="false">IFERROR(INDEX(Reference_Lists!$C$58:$C$65,MATCH(PROPER(TRIM(Raw_Data!J180)),Reference_Lists!$B$58:$B$65,0)),"UNMATCHED")</f>
        <v>Open</v>
      </c>
      <c r="K177" s="30" t="str">
        <f aca="false">IF(Raw_Data!K180="","",IF(ISTEXT(Raw_Data!K180),IFERROR(DATE(VALUE(RIGHT(TRIM(Raw_Data!K180),4)),VALUE(MID(TRIM(Raw_Data!K180),4,2)),VALUE(LEFT(TRIM(Raw_Data!K180),2))),"CHECK"),Raw_Data!K180))</f>
        <v/>
      </c>
      <c r="L177" s="33" t="str">
        <f aca="false">IF(Raw_Data!L180="","",Raw_Data!L180)</f>
        <v>Shelter kit delivered on time and the team explained the use clearly.</v>
      </c>
      <c r="M177" s="34" t="str">
        <f aca="false">IF(OR(B177="",K177=""),"",IFERROR(K177-B177,"CHECK"))</f>
        <v/>
      </c>
      <c r="N177" s="34" t="n">
        <f aca="false">IFERROR(INDEX(Reference_Lists!$H$13:$H$14,MATCH(G177,Reference_Lists!$G$13:$G$14,0)),"UNMATCHED")</f>
        <v>15</v>
      </c>
      <c r="O177" s="32" t="str">
        <f aca="false">IF(AND(J177="Closed",ISNUMBER(M177),ISNUMBER(N177),M177&gt;=0),M177&lt;=N177,"NOT ASSESSED")</f>
        <v>NOT ASSESSED</v>
      </c>
      <c r="P177" s="36" t="str">
        <f aca="false">Raw_Data!A180</f>
        <v>CFM-2026-0259</v>
      </c>
      <c r="Q177" s="37" t="str">
        <f aca="false">IFERROR(IF(OR($A177="",$P177=""),"MISSING ID",IF(EXACT($A177,$P177),"ALIGNED","MISMATCH")),"CHECK")</f>
        <v>ALIGNED</v>
      </c>
    </row>
    <row r="178" customFormat="false" ht="19.5" hidden="false" customHeight="true" outlineLevel="0" collapsed="false">
      <c r="A178" s="29" t="s">
        <v>295</v>
      </c>
      <c r="B178" s="30" t="n">
        <f aca="false">IF(Raw_Data!B181="","",IF(ISTEXT(Raw_Data!B181),IFERROR(DATE(VALUE(RIGHT(TRIM(Raw_Data!B181),4)),VALUE(MID(TRIM(Raw_Data!B181),4,2)),VALUE(LEFT(TRIM(Raw_Data!B181),2))),"CHECK"),Raw_Data!B181))</f>
        <v>46102</v>
      </c>
      <c r="C178" s="31" t="str">
        <f aca="false">IFERROR(INDEX(Reference_Lists!$C$23:$C$35,MATCH(PROPER(TRIM(Raw_Data!C181)),Reference_Lists!$B$23:$B$35,0)),"UNMATCHED")</f>
        <v>Help Desk</v>
      </c>
      <c r="D178" s="31" t="str">
        <f aca="false">IFERROR(INDEX(Reference_Lists!$C$36:$C$50,MATCH(PROPER(TRIM(Raw_Data!D181)),Reference_Lists!$B$36:$B$50,0)),"UNMATCHED")</f>
        <v>Nuseirat</v>
      </c>
      <c r="E178" s="31" t="str">
        <f aca="false">IF(Raw_Data!E181="","",Raw_Data!E181)</f>
        <v>Shelter</v>
      </c>
      <c r="F178" s="31" t="str">
        <f aca="false">IF(Raw_Data!F181="","",Raw_Data!F181)</f>
        <v>Request for Information</v>
      </c>
      <c r="G178" s="32" t="str">
        <f aca="false">IF(Raw_Data!G181="","",Raw_Data!G181)</f>
        <v>Non-Sensitive</v>
      </c>
      <c r="H178" s="32" t="str">
        <f aca="false">IFERROR(INDEX(Reference_Lists!$C$51:$C$57,MATCH(PROPER(TRIM(Raw_Data!H181)),Reference_Lists!$B$51:$B$57,0)),"UNMATCHED")</f>
        <v>Female</v>
      </c>
      <c r="I178" s="32" t="str">
        <f aca="false">IF(Raw_Data!I181="","",Raw_Data!I181)</f>
        <v>30-44</v>
      </c>
      <c r="J178" s="32" t="str">
        <f aca="false">IFERROR(INDEX(Reference_Lists!$C$58:$C$65,MATCH(PROPER(TRIM(Raw_Data!J181)),Reference_Lists!$B$58:$B$65,0)),"UNMATCHED")</f>
        <v>Closed</v>
      </c>
      <c r="K178" s="30" t="n">
        <f aca="false">IF(Raw_Data!K181="","",IF(ISTEXT(Raw_Data!K181),IFERROR(DATE(VALUE(RIGHT(TRIM(Raw_Data!K181),4)),VALUE(MID(TRIM(Raw_Data!K181),4,2)),VALUE(LEFT(TRIM(Raw_Data!K181),2))),"CHECK"),Raw_Data!K181))</f>
        <v>46127</v>
      </c>
      <c r="L178" s="33" t="str">
        <f aca="false">IF(Raw_Data!L181="","",Raw_Data!L181)</f>
        <v>Tarpaulin received is torn and does not cover the shelter area.</v>
      </c>
      <c r="M178" s="34" t="n">
        <f aca="false">IF(OR(B178="",K178=""),"",IFERROR(K178-B178,"CHECK"))</f>
        <v>25</v>
      </c>
      <c r="N178" s="34" t="n">
        <f aca="false">IFERROR(INDEX(Reference_Lists!$H$13:$H$14,MATCH(G178,Reference_Lists!$G$13:$G$14,0)),"UNMATCHED")</f>
        <v>15</v>
      </c>
      <c r="O178" s="35" t="b">
        <f aca="false">IF(AND(J178="Closed",ISNUMBER(M178),ISNUMBER(N178),M178&gt;=0),M178&lt;=N178,"NOT ASSESSED")</f>
        <v>0</v>
      </c>
      <c r="P178" s="36" t="str">
        <f aca="false">Raw_Data!A181</f>
        <v>CFM-2026-0208</v>
      </c>
      <c r="Q178" s="37" t="str">
        <f aca="false">IFERROR(IF(OR($A178="",$P178=""),"MISSING ID",IF(EXACT($A178,$P178),"ALIGNED","MISMATCH")),"CHECK")</f>
        <v>ALIGNED</v>
      </c>
    </row>
    <row r="179" customFormat="false" ht="19.5" hidden="false" customHeight="true" outlineLevel="0" collapsed="false">
      <c r="A179" s="29" t="s">
        <v>296</v>
      </c>
      <c r="B179" s="30" t="n">
        <f aca="false">IF(Raw_Data!B182="","",IF(ISTEXT(Raw_Data!B182),IFERROR(DATE(VALUE(RIGHT(TRIM(Raw_Data!B182),4)),VALUE(MID(TRIM(Raw_Data!B182),4,2)),VALUE(LEFT(TRIM(Raw_Data!B182),2))),"CHECK"),Raw_Data!B182))</f>
        <v>46114</v>
      </c>
      <c r="C179" s="31" t="str">
        <f aca="false">IFERROR(INDEX(Reference_Lists!$C$23:$C$35,MATCH(PROPER(TRIM(Raw_Data!C182)),Reference_Lists!$B$23:$B$35,0)),"UNMATCHED")</f>
        <v>Help Desk</v>
      </c>
      <c r="D179" s="31" t="str">
        <f aca="false">IFERROR(INDEX(Reference_Lists!$C$36:$C$50,MATCH(PROPER(TRIM(Raw_Data!D182)),Reference_Lists!$B$36:$B$50,0)),"UNMATCHED")</f>
        <v>Khan Yunis</v>
      </c>
      <c r="E179" s="31" t="str">
        <f aca="false">IF(Raw_Data!E182="","",Raw_Data!E182)</f>
        <v>Nutrition</v>
      </c>
      <c r="F179" s="31" t="str">
        <f aca="false">IF(Raw_Data!F182="","",Raw_Data!F182)</f>
        <v>Complaint</v>
      </c>
      <c r="G179" s="32" t="str">
        <f aca="false">IF(Raw_Data!G182="","",Raw_Data!G182)</f>
        <v>Non-Sensitive</v>
      </c>
      <c r="H179" s="32" t="str">
        <f aca="false">IFERROR(INDEX(Reference_Lists!$C$51:$C$57,MATCH(PROPER(TRIM(Raw_Data!H182)),Reference_Lists!$B$51:$B$57,0)),"UNMATCHED")</f>
        <v>Female</v>
      </c>
      <c r="I179" s="32" t="str">
        <f aca="false">IF(Raw_Data!I182="","",Raw_Data!I182)</f>
        <v>45-59</v>
      </c>
      <c r="J179" s="32" t="str">
        <f aca="false">IFERROR(INDEX(Reference_Lists!$C$58:$C$65,MATCH(PROPER(TRIM(Raw_Data!J182)),Reference_Lists!$B$58:$B$65,0)),"UNMATCHED")</f>
        <v>Closed</v>
      </c>
      <c r="K179" s="30" t="n">
        <f aca="false">IF(Raw_Data!K182="","",IF(ISTEXT(Raw_Data!K182),IFERROR(DATE(VALUE(RIGHT(TRIM(Raw_Data!K182),4)),VALUE(MID(TRIM(Raw_Data!K182),4,2)),VALUE(LEFT(TRIM(Raw_Data!K182),2))),"CHECK"),Raw_Data!K182))</f>
        <v>46115</v>
      </c>
      <c r="L179" s="33" t="str">
        <f aca="false">IF(Raw_Data!L182="","",Raw_Data!L182)</f>
        <v>Asking whether children above five are included in the screening.</v>
      </c>
      <c r="M179" s="34" t="n">
        <f aca="false">IF(OR(B179="",K179=""),"",IFERROR(K179-B179,"CHECK"))</f>
        <v>1</v>
      </c>
      <c r="N179" s="34" t="n">
        <f aca="false">IFERROR(INDEX(Reference_Lists!$H$13:$H$14,MATCH(G179,Reference_Lists!$G$13:$G$14,0)),"UNMATCHED")</f>
        <v>15</v>
      </c>
      <c r="O179" s="35" t="b">
        <f aca="false">IF(AND(J179="Closed",ISNUMBER(M179),ISNUMBER(N179),M179&gt;=0),M179&lt;=N179,"NOT ASSESSED")</f>
        <v>1</v>
      </c>
      <c r="P179" s="36" t="str">
        <f aca="false">Raw_Data!A182</f>
        <v>CFM-2026-0109</v>
      </c>
      <c r="Q179" s="37" t="str">
        <f aca="false">IFERROR(IF(OR($A179="",$P179=""),"MISSING ID",IF(EXACT($A179,$P179),"ALIGNED","MISMATCH")),"CHECK")</f>
        <v>ALIGNED</v>
      </c>
    </row>
    <row r="180" customFormat="false" ht="19.5" hidden="false" customHeight="true" outlineLevel="0" collapsed="false">
      <c r="A180" s="29" t="s">
        <v>297</v>
      </c>
      <c r="B180" s="30" t="n">
        <f aca="false">IF(Raw_Data!B183="","",IF(ISTEXT(Raw_Data!B183),IFERROR(DATE(VALUE(RIGHT(TRIM(Raw_Data!B183),4)),VALUE(MID(TRIM(Raw_Data!B183),4,2)),VALUE(LEFT(TRIM(Raw_Data!B183),2))),"CHECK"),Raw_Data!B183))</f>
        <v>46137</v>
      </c>
      <c r="C180" s="31" t="str">
        <f aca="false">IFERROR(INDEX(Reference_Lists!$C$23:$C$35,MATCH(PROPER(TRIM(Raw_Data!C183)),Reference_Lists!$B$23:$B$35,0)),"UNMATCHED")</f>
        <v>Community Focal Point</v>
      </c>
      <c r="D180" s="31" t="str">
        <f aca="false">IFERROR(INDEX(Reference_Lists!$C$36:$C$50,MATCH(PROPER(TRIM(Raw_Data!D183)),Reference_Lists!$B$36:$B$50,0)),"UNMATCHED")</f>
        <v>Khan Yunis</v>
      </c>
      <c r="E180" s="31" t="str">
        <f aca="false">IF(Raw_Data!E183="","",Raw_Data!E183)</f>
        <v>Health</v>
      </c>
      <c r="F180" s="31" t="str">
        <f aca="false">IF(Raw_Data!F183="","",Raw_Data!F183)</f>
        <v>Request for Information</v>
      </c>
      <c r="G180" s="32" t="str">
        <f aca="false">IF(Raw_Data!G183="","",Raw_Data!G183)</f>
        <v>Non-Sensitive</v>
      </c>
      <c r="H180" s="32" t="str">
        <f aca="false">IFERROR(INDEX(Reference_Lists!$C$51:$C$57,MATCH(PROPER(TRIM(Raw_Data!H183)),Reference_Lists!$B$51:$B$57,0)),"UNMATCHED")</f>
        <v>Male</v>
      </c>
      <c r="I180" s="32" t="str">
        <f aca="false">IF(Raw_Data!I183="","",Raw_Data!I183)</f>
        <v>60+</v>
      </c>
      <c r="J180" s="32" t="str">
        <f aca="false">IFERROR(INDEX(Reference_Lists!$C$58:$C$65,MATCH(PROPER(TRIM(Raw_Data!J183)),Reference_Lists!$B$58:$B$65,0)),"UNMATCHED")</f>
        <v>Closed</v>
      </c>
      <c r="K180" s="30" t="n">
        <f aca="false">IF(Raw_Data!K183="","",IF(ISTEXT(Raw_Data!K183),IFERROR(DATE(VALUE(RIGHT(TRIM(Raw_Data!K183),4)),VALUE(MID(TRIM(Raw_Data!K183),4,2)),VALUE(LEFT(TRIM(Raw_Data!K183),2))),"CHECK"),Raw_Data!K183))</f>
        <v>46158</v>
      </c>
      <c r="L180" s="33" t="str">
        <f aca="false">IF(Raw_Data!L183="","",Raw_Data!L183)</f>
        <v>Clinic opening hours are not clear to the community.</v>
      </c>
      <c r="M180" s="34" t="n">
        <f aca="false">IF(OR(B180="",K180=""),"",IFERROR(K180-B180,"CHECK"))</f>
        <v>21</v>
      </c>
      <c r="N180" s="34" t="n">
        <f aca="false">IFERROR(INDEX(Reference_Lists!$H$13:$H$14,MATCH(G180,Reference_Lists!$G$13:$G$14,0)),"UNMATCHED")</f>
        <v>15</v>
      </c>
      <c r="O180" s="35" t="b">
        <f aca="false">IF(AND(J180="Closed",ISNUMBER(M180),ISNUMBER(N180),M180&gt;=0),M180&lt;=N180,"NOT ASSESSED")</f>
        <v>0</v>
      </c>
      <c r="P180" s="36" t="str">
        <f aca="false">Raw_Data!A183</f>
        <v>CFM-2026-0020</v>
      </c>
      <c r="Q180" s="37" t="str">
        <f aca="false">IFERROR(IF(OR($A180="",$P180=""),"MISSING ID",IF(EXACT($A180,$P180),"ALIGNED","MISMATCH")),"CHECK")</f>
        <v>ALIGNED</v>
      </c>
    </row>
    <row r="181" customFormat="false" ht="19.5" hidden="false" customHeight="true" outlineLevel="0" collapsed="false">
      <c r="A181" s="29" t="s">
        <v>298</v>
      </c>
      <c r="B181" s="30" t="n">
        <f aca="false">IF(Raw_Data!B184="","",IF(ISTEXT(Raw_Data!B184),IFERROR(DATE(VALUE(RIGHT(TRIM(Raw_Data!B184),4)),VALUE(MID(TRIM(Raw_Data!B184),4,2)),VALUE(LEFT(TRIM(Raw_Data!B184),2))),"CHECK"),Raw_Data!B184))</f>
        <v>46059</v>
      </c>
      <c r="C181" s="31" t="str">
        <f aca="false">IFERROR(INDEX(Reference_Lists!$C$23:$C$35,MATCH(PROPER(TRIM(Raw_Data!C184)),Reference_Lists!$B$23:$B$35,0)),"UNMATCHED")</f>
        <v>Community Focal Point</v>
      </c>
      <c r="D181" s="31" t="str">
        <f aca="false">IFERROR(INDEX(Reference_Lists!$C$36:$C$50,MATCH(PROPER(TRIM(Raw_Data!D184)),Reference_Lists!$B$36:$B$50,0)),"UNMATCHED")</f>
        <v>Jabalia</v>
      </c>
      <c r="E181" s="31" t="str">
        <f aca="false">IF(Raw_Data!E184="","",Raw_Data!E184)</f>
        <v>Nutrition</v>
      </c>
      <c r="F181" s="31" t="str">
        <f aca="false">IF(Raw_Data!F184="","",Raw_Data!F184)</f>
        <v>Complaint</v>
      </c>
      <c r="G181" s="32" t="str">
        <f aca="false">IF(Raw_Data!G184="","",Raw_Data!G184)</f>
        <v>Non-Sensitive</v>
      </c>
      <c r="H181" s="32" t="str">
        <f aca="false">IFERROR(INDEX(Reference_Lists!$C$51:$C$57,MATCH(PROPER(TRIM(Raw_Data!H184)),Reference_Lists!$B$51:$B$57,0)),"UNMATCHED")</f>
        <v>Prefer not to say</v>
      </c>
      <c r="I181" s="32" t="str">
        <f aca="false">IF(Raw_Data!I184="","",Raw_Data!I184)</f>
        <v>18-29</v>
      </c>
      <c r="J181" s="32" t="str">
        <f aca="false">IFERROR(INDEX(Reference_Lists!$C$58:$C$65,MATCH(PROPER(TRIM(Raw_Data!J184)),Reference_Lists!$B$58:$B$65,0)),"UNMATCHED")</f>
        <v>Closed</v>
      </c>
      <c r="K181" s="30" t="n">
        <f aca="false">IF(Raw_Data!K184="","",IF(ISTEXT(Raw_Data!K184),IFERROR(DATE(VALUE(RIGHT(TRIM(Raw_Data!K184),4)),VALUE(MID(TRIM(Raw_Data!K184),4,2)),VALUE(LEFT(TRIM(Raw_Data!K184),2))),"CHECK"),Raw_Data!K184))</f>
        <v>46065</v>
      </c>
      <c r="L181" s="33" t="str">
        <f aca="false">IF(Raw_Data!L184="","",Raw_Data!L184)</f>
        <v>Asking whether children above five are included in the screening.</v>
      </c>
      <c r="M181" s="34" t="n">
        <f aca="false">IF(OR(B181="",K181=""),"",IFERROR(K181-B181,"CHECK"))</f>
        <v>6</v>
      </c>
      <c r="N181" s="34" t="n">
        <f aca="false">IFERROR(INDEX(Reference_Lists!$H$13:$H$14,MATCH(G181,Reference_Lists!$G$13:$G$14,0)),"UNMATCHED")</f>
        <v>15</v>
      </c>
      <c r="O181" s="35" t="b">
        <f aca="false">IF(AND(J181="Closed",ISNUMBER(M181),ISNUMBER(N181),M181&gt;=0),M181&lt;=N181,"NOT ASSESSED")</f>
        <v>1</v>
      </c>
      <c r="P181" s="36" t="str">
        <f aca="false">Raw_Data!A184</f>
        <v>CFM-2026-0472</v>
      </c>
      <c r="Q181" s="37" t="str">
        <f aca="false">IFERROR(IF(OR($A181="",$P181=""),"MISSING ID",IF(EXACT($A181,$P181),"ALIGNED","MISMATCH")),"CHECK")</f>
        <v>ALIGNED</v>
      </c>
    </row>
    <row r="182" customFormat="false" ht="19.5" hidden="false" customHeight="true" outlineLevel="0" collapsed="false">
      <c r="A182" s="29" t="s">
        <v>299</v>
      </c>
      <c r="B182" s="30" t="n">
        <f aca="false">IF(Raw_Data!B185="","",IF(ISTEXT(Raw_Data!B185),IFERROR(DATE(VALUE(RIGHT(TRIM(Raw_Data!B185),4)),VALUE(MID(TRIM(Raw_Data!B185),4,2)),VALUE(LEFT(TRIM(Raw_Data!B185),2))),"CHECK"),Raw_Data!B185))</f>
        <v>46218</v>
      </c>
      <c r="C182" s="31" t="str">
        <f aca="false">IFERROR(INDEX(Reference_Lists!$C$23:$C$35,MATCH(PROPER(TRIM(Raw_Data!C185)),Reference_Lists!$B$23:$B$35,0)),"UNMATCHED")</f>
        <v>In-Person at Distribution</v>
      </c>
      <c r="D182" s="31" t="str">
        <f aca="false">IFERROR(INDEX(Reference_Lists!$C$36:$C$50,MATCH(PROPER(TRIM(Raw_Data!D185)),Reference_Lists!$B$36:$B$50,0)),"UNMATCHED")</f>
        <v>Jabalia</v>
      </c>
      <c r="E182" s="31" t="str">
        <f aca="false">IF(Raw_Data!E185="","",Raw_Data!E185)</f>
        <v>Nutrition</v>
      </c>
      <c r="F182" s="31" t="str">
        <f aca="false">IF(Raw_Data!F185="","",Raw_Data!F185)</f>
        <v>Complaint</v>
      </c>
      <c r="G182" s="32" t="str">
        <f aca="false">IF(Raw_Data!G185="","",Raw_Data!G185)</f>
        <v>Non-Sensitive</v>
      </c>
      <c r="H182" s="32" t="str">
        <f aca="false">IFERROR(INDEX(Reference_Lists!$C$51:$C$57,MATCH(PROPER(TRIM(Raw_Data!H185)),Reference_Lists!$B$51:$B$57,0)),"UNMATCHED")</f>
        <v>Male</v>
      </c>
      <c r="I182" s="32" t="str">
        <f aca="false">IF(Raw_Data!I185="","",Raw_Data!I185)</f>
        <v>60+</v>
      </c>
      <c r="J182" s="32" t="str">
        <f aca="false">IFERROR(INDEX(Reference_Lists!$C$58:$C$65,MATCH(PROPER(TRIM(Raw_Data!J185)),Reference_Lists!$B$58:$B$65,0)),"UNMATCHED")</f>
        <v>In Progress</v>
      </c>
      <c r="K182" s="30" t="str">
        <f aca="false">IF(Raw_Data!K185="","",IF(ISTEXT(Raw_Data!K185),IFERROR(DATE(VALUE(RIGHT(TRIM(Raw_Data!K185),4)),VALUE(MID(TRIM(Raw_Data!K185),4,2)),VALUE(LEFT(TRIM(Raw_Data!K185),2))),"CHECK"),Raw_Data!K185))</f>
        <v/>
      </c>
      <c r="L182" s="33" t="str">
        <f aca="false">IF(Raw_Data!L185="","",Raw_Data!L185)</f>
        <v>Requesting a screening session closer to the northern shelter.</v>
      </c>
      <c r="M182" s="34" t="str">
        <f aca="false">IF(OR(B182="",K182=""),"",IFERROR(K182-B182,"CHECK"))</f>
        <v/>
      </c>
      <c r="N182" s="34" t="n">
        <f aca="false">IFERROR(INDEX(Reference_Lists!$H$13:$H$14,MATCH(G182,Reference_Lists!$G$13:$G$14,0)),"UNMATCHED")</f>
        <v>15</v>
      </c>
      <c r="O182" s="32" t="str">
        <f aca="false">IF(AND(J182="Closed",ISNUMBER(M182),ISNUMBER(N182),M182&gt;=0),M182&lt;=N182,"NOT ASSESSED")</f>
        <v>NOT ASSESSED</v>
      </c>
      <c r="P182" s="36" t="str">
        <f aca="false">Raw_Data!A185</f>
        <v>CFM-2026-0136</v>
      </c>
      <c r="Q182" s="37" t="str">
        <f aca="false">IFERROR(IF(OR($A182="",$P182=""),"MISSING ID",IF(EXACT($A182,$P182),"ALIGNED","MISMATCH")),"CHECK")</f>
        <v>ALIGNED</v>
      </c>
    </row>
    <row r="183" customFormat="false" ht="19.5" hidden="false" customHeight="true" outlineLevel="0" collapsed="false">
      <c r="A183" s="29" t="s">
        <v>300</v>
      </c>
      <c r="B183" s="30" t="n">
        <f aca="false">IF(Raw_Data!B186="","",IF(ISTEXT(Raw_Data!B186),IFERROR(DATE(VALUE(RIGHT(TRIM(Raw_Data!B186),4)),VALUE(MID(TRIM(Raw_Data!B186),4,2)),VALUE(LEFT(TRIM(Raw_Data!B186),2))),"CHECK"),Raw_Data!B186))</f>
        <v>46143</v>
      </c>
      <c r="C183" s="31" t="str">
        <f aca="false">IFERROR(INDEX(Reference_Lists!$C$23:$C$35,MATCH(PROPER(TRIM(Raw_Data!C186)),Reference_Lists!$B$23:$B$35,0)),"UNMATCHED")</f>
        <v>Phone Hotline</v>
      </c>
      <c r="D183" s="31" t="str">
        <f aca="false">IFERROR(INDEX(Reference_Lists!$C$36:$C$50,MATCH(PROPER(TRIM(Raw_Data!D186)),Reference_Lists!$B$36:$B$50,0)),"UNMATCHED")</f>
        <v>Deir al-Balah</v>
      </c>
      <c r="E183" s="31" t="str">
        <f aca="false">IF(Raw_Data!E186="","",Raw_Data!E186)</f>
        <v>Shelter</v>
      </c>
      <c r="F183" s="31" t="str">
        <f aca="false">IF(Raw_Data!F186="","",Raw_Data!F186)</f>
        <v>Complaint</v>
      </c>
      <c r="G183" s="32" t="str">
        <f aca="false">IF(Raw_Data!G186="","",Raw_Data!G186)</f>
        <v>Non-Sensitive</v>
      </c>
      <c r="H183" s="32" t="str">
        <f aca="false">IFERROR(INDEX(Reference_Lists!$C$51:$C$57,MATCH(PROPER(TRIM(Raw_Data!H186)),Reference_Lists!$B$51:$B$57,0)),"UNMATCHED")</f>
        <v>Female</v>
      </c>
      <c r="I183" s="32" t="str">
        <f aca="false">IF(Raw_Data!I186="","",Raw_Data!I186)</f>
        <v>30-44</v>
      </c>
      <c r="J183" s="32" t="str">
        <f aca="false">IFERROR(INDEX(Reference_Lists!$C$58:$C$65,MATCH(PROPER(TRIM(Raw_Data!J186)),Reference_Lists!$B$58:$B$65,0)),"UNMATCHED")</f>
        <v>Closed</v>
      </c>
      <c r="K183" s="30" t="n">
        <f aca="false">IF(Raw_Data!K186="","",IF(ISTEXT(Raw_Data!K186),IFERROR(DATE(VALUE(RIGHT(TRIM(Raw_Data!K186),4)),VALUE(MID(TRIM(Raw_Data!K186),4,2)),VALUE(LEFT(TRIM(Raw_Data!K186),2))),"CHECK"),Raw_Data!K186))</f>
        <v>46149</v>
      </c>
      <c r="L183" s="33" t="str">
        <f aca="false">IF(Raw_Data!L186="","",Raw_Data!L186)</f>
        <v/>
      </c>
      <c r="M183" s="34" t="n">
        <f aca="false">IF(OR(B183="",K183=""),"",IFERROR(K183-B183,"CHECK"))</f>
        <v>6</v>
      </c>
      <c r="N183" s="34" t="n">
        <f aca="false">IFERROR(INDEX(Reference_Lists!$H$13:$H$14,MATCH(G183,Reference_Lists!$G$13:$G$14,0)),"UNMATCHED")</f>
        <v>15</v>
      </c>
      <c r="O183" s="35" t="b">
        <f aca="false">IF(AND(J183="Closed",ISNUMBER(M183),ISNUMBER(N183),M183&gt;=0),M183&lt;=N183,"NOT ASSESSED")</f>
        <v>1</v>
      </c>
      <c r="P183" s="36" t="str">
        <f aca="false">Raw_Data!A186</f>
        <v>CFM-2026-0221</v>
      </c>
      <c r="Q183" s="37" t="str">
        <f aca="false">IFERROR(IF(OR($A183="",$P183=""),"MISSING ID",IF(EXACT($A183,$P183),"ALIGNED","MISMATCH")),"CHECK")</f>
        <v>ALIGNED</v>
      </c>
    </row>
    <row r="184" customFormat="false" ht="19.5" hidden="false" customHeight="true" outlineLevel="0" collapsed="false">
      <c r="A184" s="29" t="s">
        <v>301</v>
      </c>
      <c r="B184" s="30" t="n">
        <f aca="false">IF(Raw_Data!B188="","",IF(ISTEXT(Raw_Data!B188),IFERROR(DATE(VALUE(RIGHT(TRIM(Raw_Data!B188),4)),VALUE(MID(TRIM(Raw_Data!B188),4,2)),VALUE(LEFT(TRIM(Raw_Data!B188),2))),"CHECK"),Raw_Data!B188))</f>
        <v>46133</v>
      </c>
      <c r="C184" s="31" t="str">
        <f aca="false">IFERROR(INDEX(Reference_Lists!$C$23:$C$35,MATCH(PROPER(TRIM(Raw_Data!C188)),Reference_Lists!$B$23:$B$35,0)),"UNMATCHED")</f>
        <v>Community Focal Point</v>
      </c>
      <c r="D184" s="31" t="str">
        <f aca="false">IFERROR(INDEX(Reference_Lists!$C$36:$C$50,MATCH(PROPER(TRIM(Raw_Data!D188)),Reference_Lists!$B$36:$B$50,0)),"UNMATCHED")</f>
        <v>Nuseirat</v>
      </c>
      <c r="E184" s="31" t="str">
        <f aca="false">IF(Raw_Data!E188="","",Raw_Data!E188)</f>
        <v>Shelter</v>
      </c>
      <c r="F184" s="31" t="str">
        <f aca="false">IF(Raw_Data!F188="","",Raw_Data!F188)</f>
        <v>Request for Information</v>
      </c>
      <c r="G184" s="32" t="str">
        <f aca="false">IF(Raw_Data!G188="","",Raw_Data!G188)</f>
        <v>Non-Sensitive</v>
      </c>
      <c r="H184" s="32" t="str">
        <f aca="false">IFERROR(INDEX(Reference_Lists!$C$51:$C$57,MATCH(PROPER(TRIM(Raw_Data!H188)),Reference_Lists!$B$51:$B$57,0)),"UNMATCHED")</f>
        <v>Female</v>
      </c>
      <c r="I184" s="32" t="str">
        <f aca="false">IF(Raw_Data!I188="","",Raw_Data!I188)</f>
        <v>18-29</v>
      </c>
      <c r="J184" s="32" t="str">
        <f aca="false">IFERROR(INDEX(Reference_Lists!$C$58:$C$65,MATCH(PROPER(TRIM(Raw_Data!J188)),Reference_Lists!$B$58:$B$65,0)),"UNMATCHED")</f>
        <v>Open</v>
      </c>
      <c r="K184" s="30" t="str">
        <f aca="false">IF(Raw_Data!K188="","",IF(ISTEXT(Raw_Data!K188),IFERROR(DATE(VALUE(RIGHT(TRIM(Raw_Data!K188),4)),VALUE(MID(TRIM(Raw_Data!K188),4,2)),VALUE(LEFT(TRIM(Raw_Data!K188),2))),"CHECK"),Raw_Data!K188))</f>
        <v/>
      </c>
      <c r="L184" s="33" t="str">
        <f aca="false">IF(Raw_Data!L188="","",Raw_Data!L188)</f>
        <v>Shelter kit delivered on time and the team explained the use clearly.</v>
      </c>
      <c r="M184" s="34" t="str">
        <f aca="false">IF(OR(B184="",K184=""),"",IFERROR(K184-B184,"CHECK"))</f>
        <v/>
      </c>
      <c r="N184" s="34" t="n">
        <f aca="false">IFERROR(INDEX(Reference_Lists!$H$13:$H$14,MATCH(G184,Reference_Lists!$G$13:$G$14,0)),"UNMATCHED")</f>
        <v>15</v>
      </c>
      <c r="O184" s="32" t="str">
        <f aca="false">IF(AND(J184="Closed",ISNUMBER(M184),ISNUMBER(N184),M184&gt;=0),M184&lt;=N184,"NOT ASSESSED")</f>
        <v>NOT ASSESSED</v>
      </c>
      <c r="P184" s="36" t="str">
        <f aca="false">Raw_Data!A188</f>
        <v>CFM-2026-0350</v>
      </c>
      <c r="Q184" s="37" t="str">
        <f aca="false">IFERROR(IF(OR($A184="",$P184=""),"MISSING ID",IF(EXACT($A184,$P184),"ALIGNED","MISMATCH")),"CHECK")</f>
        <v>ALIGNED</v>
      </c>
    </row>
    <row r="185" customFormat="false" ht="19.5" hidden="false" customHeight="true" outlineLevel="0" collapsed="false">
      <c r="A185" s="29" t="s">
        <v>302</v>
      </c>
      <c r="B185" s="30" t="n">
        <f aca="false">IF(Raw_Data!B189="","",IF(ISTEXT(Raw_Data!B189),IFERROR(DATE(VALUE(RIGHT(TRIM(Raw_Data!B189),4)),VALUE(MID(TRIM(Raw_Data!B189),4,2)),VALUE(LEFT(TRIM(Raw_Data!B189),2))),"CHECK"),Raw_Data!B189))</f>
        <v>46136</v>
      </c>
      <c r="C185" s="31" t="str">
        <f aca="false">IFERROR(INDEX(Reference_Lists!$C$23:$C$35,MATCH(PROPER(TRIM(Raw_Data!C189)),Reference_Lists!$B$23:$B$35,0)),"UNMATCHED")</f>
        <v>Suggestion Box</v>
      </c>
      <c r="D185" s="31" t="str">
        <f aca="false">IFERROR(INDEX(Reference_Lists!$C$36:$C$50,MATCH(PROPER(TRIM(Raw_Data!D189)),Reference_Lists!$B$36:$B$50,0)),"UNMATCHED")</f>
        <v>Gaza City</v>
      </c>
      <c r="E185" s="31" t="str">
        <f aca="false">IF(Raw_Data!E189="","",Raw_Data!E189)</f>
        <v>Health</v>
      </c>
      <c r="F185" s="31" t="str">
        <f aca="false">IF(Raw_Data!F189="","",Raw_Data!F189)</f>
        <v>Request for Information</v>
      </c>
      <c r="G185" s="32" t="str">
        <f aca="false">IF(Raw_Data!G189="","",Raw_Data!G189)</f>
        <v>Non-Sensitive</v>
      </c>
      <c r="H185" s="32" t="str">
        <f aca="false">IFERROR(INDEX(Reference_Lists!$C$51:$C$57,MATCH(PROPER(TRIM(Raw_Data!H189)),Reference_Lists!$B$51:$B$57,0)),"UNMATCHED")</f>
        <v>Male</v>
      </c>
      <c r="I185" s="32" t="str">
        <f aca="false">IF(Raw_Data!I189="","",Raw_Data!I189)</f>
        <v/>
      </c>
      <c r="J185" s="32" t="str">
        <f aca="false">IFERROR(INDEX(Reference_Lists!$C$58:$C$65,MATCH(PROPER(TRIM(Raw_Data!J189)),Reference_Lists!$B$58:$B$65,0)),"UNMATCHED")</f>
        <v>Closed</v>
      </c>
      <c r="K185" s="30" t="n">
        <f aca="false">IF(Raw_Data!K189="","",IF(ISTEXT(Raw_Data!K189),IFERROR(DATE(VALUE(RIGHT(TRIM(Raw_Data!K189),4)),VALUE(MID(TRIM(Raw_Data!K189),4,2)),VALUE(LEFT(TRIM(Raw_Data!K189),2))),"CHECK"),Raw_Data!K189))</f>
        <v>46143</v>
      </c>
      <c r="L185" s="33" t="str">
        <f aca="false">IF(Raw_Data!L189="","",Raw_Data!L189)</f>
        <v>Clinic opening hours are not clear to the community.</v>
      </c>
      <c r="M185" s="34" t="n">
        <f aca="false">IF(OR(B185="",K185=""),"",IFERROR(K185-B185,"CHECK"))</f>
        <v>7</v>
      </c>
      <c r="N185" s="34" t="n">
        <f aca="false">IFERROR(INDEX(Reference_Lists!$H$13:$H$14,MATCH(G185,Reference_Lists!$G$13:$G$14,0)),"UNMATCHED")</f>
        <v>15</v>
      </c>
      <c r="O185" s="35" t="b">
        <f aca="false">IF(AND(J185="Closed",ISNUMBER(M185),ISNUMBER(N185),M185&gt;=0),M185&lt;=N185,"NOT ASSESSED")</f>
        <v>1</v>
      </c>
      <c r="P185" s="36" t="str">
        <f aca="false">Raw_Data!A189</f>
        <v>CFM-2026-0062</v>
      </c>
      <c r="Q185" s="37" t="str">
        <f aca="false">IFERROR(IF(OR($A185="",$P185=""),"MISSING ID",IF(EXACT($A185,$P185),"ALIGNED","MISMATCH")),"CHECK")</f>
        <v>ALIGNED</v>
      </c>
    </row>
    <row r="186" customFormat="false" ht="19.5" hidden="false" customHeight="true" outlineLevel="0" collapsed="false">
      <c r="A186" s="29" t="s">
        <v>303</v>
      </c>
      <c r="B186" s="30" t="n">
        <f aca="false">IF(Raw_Data!B190="","",IF(ISTEXT(Raw_Data!B190),IFERROR(DATE(VALUE(RIGHT(TRIM(Raw_Data!B190),4)),VALUE(MID(TRIM(Raw_Data!B190),4,2)),VALUE(LEFT(TRIM(Raw_Data!B190),2))),"CHECK"),Raw_Data!B190))</f>
        <v>46034</v>
      </c>
      <c r="C186" s="31" t="str">
        <f aca="false">IFERROR(INDEX(Reference_Lists!$C$23:$C$35,MATCH(PROPER(TRIM(Raw_Data!C190)),Reference_Lists!$B$23:$B$35,0)),"UNMATCHED")</f>
        <v>Suggestion Box</v>
      </c>
      <c r="D186" s="31" t="str">
        <f aca="false">IFERROR(INDEX(Reference_Lists!$C$36:$C$50,MATCH(PROPER(TRIM(Raw_Data!D190)),Reference_Lists!$B$36:$B$50,0)),"UNMATCHED")</f>
        <v>Khan Yunis</v>
      </c>
      <c r="E186" s="31" t="str">
        <f aca="false">IF(Raw_Data!E190="","",Raw_Data!E190)</f>
        <v/>
      </c>
      <c r="F186" s="31" t="str">
        <f aca="false">IF(Raw_Data!F190="","",Raw_Data!F190)</f>
        <v>Request for Information</v>
      </c>
      <c r="G186" s="32" t="str">
        <f aca="false">IF(Raw_Data!G190="","",Raw_Data!G190)</f>
        <v>Non-Sensitive</v>
      </c>
      <c r="H186" s="32" t="str">
        <f aca="false">IFERROR(INDEX(Reference_Lists!$C$51:$C$57,MATCH(PROPER(TRIM(Raw_Data!H190)),Reference_Lists!$B$51:$B$57,0)),"UNMATCHED")</f>
        <v>Female</v>
      </c>
      <c r="I186" s="32" t="str">
        <f aca="false">IF(Raw_Data!I190="","",Raw_Data!I190)</f>
        <v>30-44</v>
      </c>
      <c r="J186" s="32" t="str">
        <f aca="false">IFERROR(INDEX(Reference_Lists!$C$58:$C$65,MATCH(PROPER(TRIM(Raw_Data!J190)),Reference_Lists!$B$58:$B$65,0)),"UNMATCHED")</f>
        <v>In Progress</v>
      </c>
      <c r="K186" s="30" t="str">
        <f aca="false">IF(Raw_Data!K190="","",IF(ISTEXT(Raw_Data!K190),IFERROR(DATE(VALUE(RIGHT(TRIM(Raw_Data!K190),4)),VALUE(MID(TRIM(Raw_Data!K190),4,2)),VALUE(LEFT(TRIM(Raw_Data!K190),2))),"CHECK"),Raw_Data!K190))</f>
        <v/>
      </c>
      <c r="L186" s="33" t="str">
        <f aca="false">IF(Raw_Data!L190="","",Raw_Data!L190)</f>
        <v>Shelter kit delivered on time and the team explained the use clearly.</v>
      </c>
      <c r="M186" s="34" t="str">
        <f aca="false">IF(OR(B186="",K186=""),"",IFERROR(K186-B186,"CHECK"))</f>
        <v/>
      </c>
      <c r="N186" s="34" t="n">
        <f aca="false">IFERROR(INDEX(Reference_Lists!$H$13:$H$14,MATCH(G186,Reference_Lists!$G$13:$G$14,0)),"UNMATCHED")</f>
        <v>15</v>
      </c>
      <c r="O186" s="32" t="str">
        <f aca="false">IF(AND(J186="Closed",ISNUMBER(M186),ISNUMBER(N186),M186&gt;=0),M186&lt;=N186,"NOT ASSESSED")</f>
        <v>NOT ASSESSED</v>
      </c>
      <c r="P186" s="36" t="str">
        <f aca="false">Raw_Data!A190</f>
        <v>CFM-2026-0213</v>
      </c>
      <c r="Q186" s="37" t="str">
        <f aca="false">IFERROR(IF(OR($A186="",$P186=""),"MISSING ID",IF(EXACT($A186,$P186),"ALIGNED","MISMATCH")),"CHECK")</f>
        <v>ALIGNED</v>
      </c>
    </row>
    <row r="187" customFormat="false" ht="19.5" hidden="false" customHeight="true" outlineLevel="0" collapsed="false">
      <c r="A187" s="29" t="s">
        <v>304</v>
      </c>
      <c r="B187" s="30" t="n">
        <f aca="false">IF(Raw_Data!B191="","",IF(ISTEXT(Raw_Data!B191),IFERROR(DATE(VALUE(RIGHT(TRIM(Raw_Data!B191),4)),VALUE(MID(TRIM(Raw_Data!B191),4,2)),VALUE(LEFT(TRIM(Raw_Data!B191),2))),"CHECK"),Raw_Data!B191))</f>
        <v>46027</v>
      </c>
      <c r="C187" s="31" t="str">
        <f aca="false">IFERROR(INDEX(Reference_Lists!$C$23:$C$35,MATCH(PROPER(TRIM(Raw_Data!C191)),Reference_Lists!$B$23:$B$35,0)),"UNMATCHED")</f>
        <v>Phone Hotline</v>
      </c>
      <c r="D187" s="31" t="str">
        <f aca="false">IFERROR(INDEX(Reference_Lists!$C$36:$C$50,MATCH(PROPER(TRIM(Raw_Data!D191)),Reference_Lists!$B$36:$B$50,0)),"UNMATCHED")</f>
        <v>Deir al-Balah</v>
      </c>
      <c r="E187" s="31" t="str">
        <f aca="false">IF(Raw_Data!E191="","",Raw_Data!E191)</f>
        <v>WASH</v>
      </c>
      <c r="F187" s="31" t="str">
        <f aca="false">IF(Raw_Data!F191="","",Raw_Data!F191)</f>
        <v>Complaint</v>
      </c>
      <c r="G187" s="32" t="str">
        <f aca="false">IF(Raw_Data!G191="","",Raw_Data!G191)</f>
        <v>Non-Sensitive</v>
      </c>
      <c r="H187" s="32" t="str">
        <f aca="false">IFERROR(INDEX(Reference_Lists!$C$51:$C$57,MATCH(PROPER(TRIM(Raw_Data!H191)),Reference_Lists!$B$51:$B$57,0)),"UNMATCHED")</f>
        <v>Female</v>
      </c>
      <c r="I187" s="32" t="str">
        <f aca="false">IF(Raw_Data!I191="","",Raw_Data!I191)</f>
        <v>30-44</v>
      </c>
      <c r="J187" s="32" t="str">
        <f aca="false">IFERROR(INDEX(Reference_Lists!$C$58:$C$65,MATCH(PROPER(TRIM(Raw_Data!J191)),Reference_Lists!$B$58:$B$65,0)),"UNMATCHED")</f>
        <v>Closed</v>
      </c>
      <c r="K187" s="30" t="n">
        <f aca="false">IF(Raw_Data!K191="","",IF(ISTEXT(Raw_Data!K191),IFERROR(DATE(VALUE(RIGHT(TRIM(Raw_Data!K191),4)),VALUE(MID(TRIM(Raw_Data!K191),4,2)),VALUE(LEFT(TRIM(Raw_Data!K191),2))),"CHECK"),Raw_Data!K191))</f>
        <v>46028</v>
      </c>
      <c r="L187" s="33" t="str">
        <f aca="false">IF(Raw_Data!L191="","",Raw_Data!L191)</f>
        <v>Water truck did not arrive at the agreed time for three consecutive days.</v>
      </c>
      <c r="M187" s="34" t="n">
        <f aca="false">IF(OR(B187="",K187=""),"",IFERROR(K187-B187,"CHECK"))</f>
        <v>1</v>
      </c>
      <c r="N187" s="34" t="n">
        <f aca="false">IFERROR(INDEX(Reference_Lists!$H$13:$H$14,MATCH(G187,Reference_Lists!$G$13:$G$14,0)),"UNMATCHED")</f>
        <v>15</v>
      </c>
      <c r="O187" s="35" t="b">
        <f aca="false">IF(AND(J187="Closed",ISNUMBER(M187),ISNUMBER(N187),M187&gt;=0),M187&lt;=N187,"NOT ASSESSED")</f>
        <v>1</v>
      </c>
      <c r="P187" s="36" t="str">
        <f aca="false">Raw_Data!A191</f>
        <v>CFM-2026-0443</v>
      </c>
      <c r="Q187" s="37" t="str">
        <f aca="false">IFERROR(IF(OR($A187="",$P187=""),"MISSING ID",IF(EXACT($A187,$P187),"ALIGNED","MISMATCH")),"CHECK")</f>
        <v>ALIGNED</v>
      </c>
    </row>
    <row r="188" customFormat="false" ht="19.5" hidden="false" customHeight="true" outlineLevel="0" collapsed="false">
      <c r="A188" s="29" t="s">
        <v>305</v>
      </c>
      <c r="B188" s="30" t="n">
        <f aca="false">IF(Raw_Data!B192="","",IF(ISTEXT(Raw_Data!B192),IFERROR(DATE(VALUE(RIGHT(TRIM(Raw_Data!B192),4)),VALUE(MID(TRIM(Raw_Data!B192),4,2)),VALUE(LEFT(TRIM(Raw_Data!B192),2))),"CHECK"),Raw_Data!B192))</f>
        <v>46110</v>
      </c>
      <c r="C188" s="31" t="str">
        <f aca="false">IFERROR(INDEX(Reference_Lists!$C$23:$C$35,MATCH(PROPER(TRIM(Raw_Data!C192)),Reference_Lists!$B$23:$B$35,0)),"UNMATCHED")</f>
        <v>Phone Hotline</v>
      </c>
      <c r="D188" s="31" t="str">
        <f aca="false">IFERROR(INDEX(Reference_Lists!$C$36:$C$50,MATCH(PROPER(TRIM(Raw_Data!D192)),Reference_Lists!$B$36:$B$50,0)),"UNMATCHED")</f>
        <v>Gaza City</v>
      </c>
      <c r="E188" s="31" t="str">
        <f aca="false">IF(Raw_Data!E192="","",Raw_Data!E192)</f>
        <v>Shelter</v>
      </c>
      <c r="F188" s="31" t="str">
        <f aca="false">IF(Raw_Data!F192="","",Raw_Data!F192)</f>
        <v>Appreciation</v>
      </c>
      <c r="G188" s="32" t="str">
        <f aca="false">IF(Raw_Data!G192="","",Raw_Data!G192)</f>
        <v>Non-Sensitive</v>
      </c>
      <c r="H188" s="32" t="str">
        <f aca="false">IFERROR(INDEX(Reference_Lists!$C$51:$C$57,MATCH(PROPER(TRIM(Raw_Data!H192)),Reference_Lists!$B$51:$B$57,0)),"UNMATCHED")</f>
        <v>Prefer not to say</v>
      </c>
      <c r="I188" s="32" t="str">
        <f aca="false">IF(Raw_Data!I192="","",Raw_Data!I192)</f>
        <v>30-44</v>
      </c>
      <c r="J188" s="32" t="str">
        <f aca="false">IFERROR(INDEX(Reference_Lists!$C$58:$C$65,MATCH(PROPER(TRIM(Raw_Data!J192)),Reference_Lists!$B$58:$B$65,0)),"UNMATCHED")</f>
        <v>Closed</v>
      </c>
      <c r="K188" s="30" t="n">
        <f aca="false">IF(Raw_Data!K192="","",IF(ISTEXT(Raw_Data!K192),IFERROR(DATE(VALUE(RIGHT(TRIM(Raw_Data!K192),4)),VALUE(MID(TRIM(Raw_Data!K192),4,2)),VALUE(LEFT(TRIM(Raw_Data!K192),2))),"CHECK"),Raw_Data!K192))</f>
        <v>46111</v>
      </c>
      <c r="L188" s="33" t="str">
        <f aca="false">IF(Raw_Data!L192="","",Raw_Data!L192)</f>
        <v>Requesting information about the criteria for shelter repair kits.</v>
      </c>
      <c r="M188" s="34" t="n">
        <f aca="false">IF(OR(B188="",K188=""),"",IFERROR(K188-B188,"CHECK"))</f>
        <v>1</v>
      </c>
      <c r="N188" s="34" t="n">
        <f aca="false">IFERROR(INDEX(Reference_Lists!$H$13:$H$14,MATCH(G188,Reference_Lists!$G$13:$G$14,0)),"UNMATCHED")</f>
        <v>15</v>
      </c>
      <c r="O188" s="35" t="b">
        <f aca="false">IF(AND(J188="Closed",ISNUMBER(M188),ISNUMBER(N188),M188&gt;=0),M188&lt;=N188,"NOT ASSESSED")</f>
        <v>1</v>
      </c>
      <c r="P188" s="36" t="str">
        <f aca="false">Raw_Data!A192</f>
        <v>CFM-2026-0415</v>
      </c>
      <c r="Q188" s="37" t="str">
        <f aca="false">IFERROR(IF(OR($A188="",$P188=""),"MISSING ID",IF(EXACT($A188,$P188),"ALIGNED","MISMATCH")),"CHECK")</f>
        <v>ALIGNED</v>
      </c>
    </row>
    <row r="189" customFormat="false" ht="19.5" hidden="false" customHeight="true" outlineLevel="0" collapsed="false">
      <c r="A189" s="29" t="s">
        <v>307</v>
      </c>
      <c r="B189" s="30" t="n">
        <f aca="false">IF(Raw_Data!B193="","",IF(ISTEXT(Raw_Data!B193),IFERROR(DATE(VALUE(RIGHT(TRIM(Raw_Data!B193),4)),VALUE(MID(TRIM(Raw_Data!B193),4,2)),VALUE(LEFT(TRIM(Raw_Data!B193),2))),"CHECK"),Raw_Data!B193))</f>
        <v>46184</v>
      </c>
      <c r="C189" s="31" t="str">
        <f aca="false">IFERROR(INDEX(Reference_Lists!$C$23:$C$35,MATCH(PROPER(TRIM(Raw_Data!C193)),Reference_Lists!$B$23:$B$35,0)),"UNMATCHED")</f>
        <v>Phone Hotline</v>
      </c>
      <c r="D189" s="31" t="str">
        <f aca="false">IFERROR(INDEX(Reference_Lists!$C$36:$C$50,MATCH(PROPER(TRIM(Raw_Data!D193)),Reference_Lists!$B$36:$B$50,0)),"UNMATCHED")</f>
        <v>Nuseirat</v>
      </c>
      <c r="E189" s="31" t="str">
        <f aca="false">IF(Raw_Data!E193="","",Raw_Data!E193)</f>
        <v>Food Security</v>
      </c>
      <c r="F189" s="31" t="str">
        <f aca="false">IF(Raw_Data!F193="","",Raw_Data!F193)</f>
        <v>Appreciation</v>
      </c>
      <c r="G189" s="32" t="str">
        <f aca="false">IF(Raw_Data!G193="","",Raw_Data!G193)</f>
        <v>Non-Sensitive</v>
      </c>
      <c r="H189" s="32" t="str">
        <f aca="false">IFERROR(INDEX(Reference_Lists!$C$51:$C$57,MATCH(PROPER(TRIM(Raw_Data!H193)),Reference_Lists!$B$51:$B$57,0)),"UNMATCHED")</f>
        <v>Male</v>
      </c>
      <c r="I189" s="32" t="str">
        <f aca="false">IF(Raw_Data!I193="","",Raw_Data!I193)</f>
        <v>30-44</v>
      </c>
      <c r="J189" s="32" t="str">
        <f aca="false">IFERROR(INDEX(Reference_Lists!$C$58:$C$65,MATCH(PROPER(TRIM(Raw_Data!J193)),Reference_Lists!$B$58:$B$65,0)),"UNMATCHED")</f>
        <v>Closed</v>
      </c>
      <c r="K189" s="30" t="n">
        <f aca="false">IF(Raw_Data!K193="","",IF(ISTEXT(Raw_Data!K193),IFERROR(DATE(VALUE(RIGHT(TRIM(Raw_Data!K193),4)),VALUE(MID(TRIM(Raw_Data!K193),4,2)),VALUE(LEFT(TRIM(Raw_Data!K193),2))),"CHECK"),Raw_Data!K193))</f>
        <v>46185</v>
      </c>
      <c r="L189" s="33" t="str">
        <f aca="false">IF(Raw_Data!L193="","",Raw_Data!L193)</f>
        <v>Asking how the beneficiary list for the next round is prepared.</v>
      </c>
      <c r="M189" s="34" t="n">
        <f aca="false">IF(OR(B189="",K189=""),"",IFERROR(K189-B189,"CHECK"))</f>
        <v>1</v>
      </c>
      <c r="N189" s="34" t="n">
        <f aca="false">IFERROR(INDEX(Reference_Lists!$H$13:$H$14,MATCH(G189,Reference_Lists!$G$13:$G$14,0)),"UNMATCHED")</f>
        <v>15</v>
      </c>
      <c r="O189" s="35" t="b">
        <f aca="false">IF(AND(J189="Closed",ISNUMBER(M189),ISNUMBER(N189),M189&gt;=0),M189&lt;=N189,"NOT ASSESSED")</f>
        <v>1</v>
      </c>
      <c r="P189" s="36" t="str">
        <f aca="false">Raw_Data!A193</f>
        <v>CFM-2026-0106</v>
      </c>
      <c r="Q189" s="37" t="str">
        <f aca="false">IFERROR(IF(OR($A189="",$P189=""),"MISSING ID",IF(EXACT($A189,$P189),"ALIGNED","MISMATCH")),"CHECK")</f>
        <v>ALIGNED</v>
      </c>
    </row>
    <row r="190" customFormat="false" ht="19.5" hidden="false" customHeight="true" outlineLevel="0" collapsed="false">
      <c r="A190" s="29" t="s">
        <v>308</v>
      </c>
      <c r="B190" s="30" t="n">
        <f aca="false">IF(Raw_Data!B194="","",IF(ISTEXT(Raw_Data!B194),IFERROR(DATE(VALUE(RIGHT(TRIM(Raw_Data!B194),4)),VALUE(MID(TRIM(Raw_Data!B194),4,2)),VALUE(LEFT(TRIM(Raw_Data!B194),2))),"CHECK"),Raw_Data!B194))</f>
        <v>46103</v>
      </c>
      <c r="C190" s="31" t="str">
        <f aca="false">IFERROR(INDEX(Reference_Lists!$C$23:$C$35,MATCH(PROPER(TRIM(Raw_Data!C194)),Reference_Lists!$B$23:$B$35,0)),"UNMATCHED")</f>
        <v>Community Focal Point</v>
      </c>
      <c r="D190" s="31" t="str">
        <f aca="false">IFERROR(INDEX(Reference_Lists!$C$36:$C$50,MATCH(PROPER(TRIM(Raw_Data!D194)),Reference_Lists!$B$36:$B$50,0)),"UNMATCHED")</f>
        <v>Jabalia</v>
      </c>
      <c r="E190" s="31" t="str">
        <f aca="false">IF(Raw_Data!E194="","",Raw_Data!E194)</f>
        <v>Health</v>
      </c>
      <c r="F190" s="31" t="str">
        <f aca="false">IF(Raw_Data!F194="","",Raw_Data!F194)</f>
        <v>Suggestion</v>
      </c>
      <c r="G190" s="32" t="str">
        <f aca="false">IF(Raw_Data!G194="","",Raw_Data!G194)</f>
        <v>Non-Sensitive</v>
      </c>
      <c r="H190" s="32" t="str">
        <f aca="false">IFERROR(INDEX(Reference_Lists!$C$51:$C$57,MATCH(PROPER(TRIM(Raw_Data!H194)),Reference_Lists!$B$51:$B$57,0)),"UNMATCHED")</f>
        <v>Male</v>
      </c>
      <c r="I190" s="32" t="str">
        <f aca="false">IF(Raw_Data!I194="","",Raw_Data!I194)</f>
        <v>45-59</v>
      </c>
      <c r="J190" s="32" t="str">
        <f aca="false">IFERROR(INDEX(Reference_Lists!$C$58:$C$65,MATCH(PROPER(TRIM(Raw_Data!J194)),Reference_Lists!$B$58:$B$65,0)),"UNMATCHED")</f>
        <v>Closed</v>
      </c>
      <c r="K190" s="30" t="n">
        <f aca="false">IF(Raw_Data!K194="","",IF(ISTEXT(Raw_Data!K194),IFERROR(DATE(VALUE(RIGHT(TRIM(Raw_Data!K194),4)),VALUE(MID(TRIM(Raw_Data!K194),4,2)),VALUE(LEFT(TRIM(Raw_Data!K194),2))),"CHECK"),Raw_Data!K194))</f>
        <v>46111</v>
      </c>
      <c r="L190" s="33" t="str">
        <f aca="false">IF(Raw_Data!L194="","",Raw_Data!L194)</f>
        <v>Requesting a referral pathway for a family member with limited mobility.</v>
      </c>
      <c r="M190" s="34" t="n">
        <f aca="false">IF(OR(B190="",K190=""),"",IFERROR(K190-B190,"CHECK"))</f>
        <v>8</v>
      </c>
      <c r="N190" s="34" t="n">
        <f aca="false">IFERROR(INDEX(Reference_Lists!$H$13:$H$14,MATCH(G190,Reference_Lists!$G$13:$G$14,0)),"UNMATCHED")</f>
        <v>15</v>
      </c>
      <c r="O190" s="35" t="b">
        <f aca="false">IF(AND(J190="Closed",ISNUMBER(M190),ISNUMBER(N190),M190&gt;=0),M190&lt;=N190,"NOT ASSESSED")</f>
        <v>1</v>
      </c>
      <c r="P190" s="36" t="str">
        <f aca="false">Raw_Data!A194</f>
        <v>CFM-2026-0197</v>
      </c>
      <c r="Q190" s="37" t="str">
        <f aca="false">IFERROR(IF(OR($A190="",$P190=""),"MISSING ID",IF(EXACT($A190,$P190),"ALIGNED","MISMATCH")),"CHECK")</f>
        <v>ALIGNED</v>
      </c>
    </row>
    <row r="191" customFormat="false" ht="19.5" hidden="false" customHeight="true" outlineLevel="0" collapsed="false">
      <c r="A191" s="29" t="s">
        <v>309</v>
      </c>
      <c r="B191" s="30" t="n">
        <f aca="false">IF(Raw_Data!B195="","",IF(ISTEXT(Raw_Data!B195),IFERROR(DATE(VALUE(RIGHT(TRIM(Raw_Data!B195),4)),VALUE(MID(TRIM(Raw_Data!B195),4,2)),VALUE(LEFT(TRIM(Raw_Data!B195),2))),"CHECK"),Raw_Data!B195))</f>
        <v>46136</v>
      </c>
      <c r="C191" s="31" t="str">
        <f aca="false">IFERROR(INDEX(Reference_Lists!$C$23:$C$35,MATCH(PROPER(TRIM(Raw_Data!C195)),Reference_Lists!$B$23:$B$35,0)),"UNMATCHED")</f>
        <v>In-Person at Distribution</v>
      </c>
      <c r="D191" s="31" t="str">
        <f aca="false">IFERROR(INDEX(Reference_Lists!$C$36:$C$50,MATCH(PROPER(TRIM(Raw_Data!D195)),Reference_Lists!$B$36:$B$50,0)),"UNMATCHED")</f>
        <v>Deir al-Balah</v>
      </c>
      <c r="E191" s="31" t="str">
        <f aca="false">IF(Raw_Data!E195="","",Raw_Data!E195)</f>
        <v>Shelter</v>
      </c>
      <c r="F191" s="31" t="str">
        <f aca="false">IF(Raw_Data!F195="","",Raw_Data!F195)</f>
        <v>Sensitive Complaint</v>
      </c>
      <c r="G191" s="32" t="str">
        <f aca="false">IF(Raw_Data!G195="","",Raw_Data!G195)</f>
        <v>Sensitive</v>
      </c>
      <c r="H191" s="32" t="str">
        <f aca="false">IFERROR(INDEX(Reference_Lists!$C$51:$C$57,MATCH(PROPER(TRIM(Raw_Data!H195)),Reference_Lists!$B$51:$B$57,0)),"UNMATCHED")</f>
        <v>Female</v>
      </c>
      <c r="I191" s="32" t="str">
        <f aca="false">IF(Raw_Data!I195="","",Raw_Data!I195)</f>
        <v>18-29</v>
      </c>
      <c r="J191" s="32" t="str">
        <f aca="false">IFERROR(INDEX(Reference_Lists!$C$58:$C$65,MATCH(PROPER(TRIM(Raw_Data!J195)),Reference_Lists!$B$58:$B$65,0)),"UNMATCHED")</f>
        <v>Open</v>
      </c>
      <c r="K191" s="30" t="str">
        <f aca="false">IF(Raw_Data!K195="","",IF(ISTEXT(Raw_Data!K195),IFERROR(DATE(VALUE(RIGHT(TRIM(Raw_Data!K195),4)),VALUE(MID(TRIM(Raw_Data!K195),4,2)),VALUE(LEFT(TRIM(Raw_Data!K195),2))),"CHECK"),Raw_Data!K195))</f>
        <v/>
      </c>
      <c r="L191" s="33" t="str">
        <f aca="false">IF(Raw_Data!L195="","",Raw_Data!L195)</f>
        <v>Sensitive case - details recorded separately by the focal point; not stored in this tracker.</v>
      </c>
      <c r="M191" s="34" t="str">
        <f aca="false">IF(OR(B191="",K191=""),"",IFERROR(K191-B191,"CHECK"))</f>
        <v/>
      </c>
      <c r="N191" s="34" t="n">
        <f aca="false">IFERROR(INDEX(Reference_Lists!$H$13:$H$14,MATCH(G191,Reference_Lists!$G$13:$G$14,0)),"UNMATCHED")</f>
        <v>3</v>
      </c>
      <c r="O191" s="32" t="str">
        <f aca="false">IF(AND(J191="Closed",ISNUMBER(M191),ISNUMBER(N191),M191&gt;=0),M191&lt;=N191,"NOT ASSESSED")</f>
        <v>NOT ASSESSED</v>
      </c>
      <c r="P191" s="36" t="str">
        <f aca="false">Raw_Data!A195</f>
        <v>CFM-2026-0409</v>
      </c>
      <c r="Q191" s="37" t="str">
        <f aca="false">IFERROR(IF(OR($A191="",$P191=""),"MISSING ID",IF(EXACT($A191,$P191),"ALIGNED","MISMATCH")),"CHECK")</f>
        <v>ALIGNED</v>
      </c>
    </row>
    <row r="192" customFormat="false" ht="19.5" hidden="false" customHeight="true" outlineLevel="0" collapsed="false">
      <c r="A192" s="29" t="s">
        <v>310</v>
      </c>
      <c r="B192" s="30" t="n">
        <f aca="false">IF(Raw_Data!B196="","",IF(ISTEXT(Raw_Data!B196),IFERROR(DATE(VALUE(RIGHT(TRIM(Raw_Data!B196),4)),VALUE(MID(TRIM(Raw_Data!B196),4,2)),VALUE(LEFT(TRIM(Raw_Data!B196),2))),"CHECK"),Raw_Data!B196))</f>
        <v>46191</v>
      </c>
      <c r="C192" s="31" t="str">
        <f aca="false">IFERROR(INDEX(Reference_Lists!$C$23:$C$35,MATCH(PROPER(TRIM(Raw_Data!C196)),Reference_Lists!$B$23:$B$35,0)),"UNMATCHED")</f>
        <v>Help Desk</v>
      </c>
      <c r="D192" s="31" t="str">
        <f aca="false">IFERROR(INDEX(Reference_Lists!$C$36:$C$50,MATCH(PROPER(TRIM(Raw_Data!D196)),Reference_Lists!$B$36:$B$50,0)),"UNMATCHED")</f>
        <v>Gaza City</v>
      </c>
      <c r="E192" s="31" t="str">
        <f aca="false">IF(Raw_Data!E196="","",Raw_Data!E196)</f>
        <v>Health</v>
      </c>
      <c r="F192" s="31" t="str">
        <f aca="false">IF(Raw_Data!F196="","",Raw_Data!F196)</f>
        <v>Complaint</v>
      </c>
      <c r="G192" s="32" t="str">
        <f aca="false">IF(Raw_Data!G196="","",Raw_Data!G196)</f>
        <v>Non-Sensitive</v>
      </c>
      <c r="H192" s="32" t="str">
        <f aca="false">IFERROR(INDEX(Reference_Lists!$C$51:$C$57,MATCH(PROPER(TRIM(Raw_Data!H196)),Reference_Lists!$B$51:$B$57,0)),"UNMATCHED")</f>
        <v>Female</v>
      </c>
      <c r="I192" s="32" t="str">
        <f aca="false">IF(Raw_Data!I196="","",Raw_Data!I196)</f>
        <v>18-29</v>
      </c>
      <c r="J192" s="32" t="str">
        <f aca="false">IFERROR(INDEX(Reference_Lists!$C$58:$C$65,MATCH(PROPER(TRIM(Raw_Data!J196)),Reference_Lists!$B$58:$B$65,0)),"UNMATCHED")</f>
        <v>Closed</v>
      </c>
      <c r="K192" s="30" t="n">
        <f aca="false">IF(Raw_Data!K196="","",IF(ISTEXT(Raw_Data!K196),IFERROR(DATE(VALUE(RIGHT(TRIM(Raw_Data!K196),4)),VALUE(MID(TRIM(Raw_Data!K196),4,2)),VALUE(LEFT(TRIM(Raw_Data!K196),2))),"CHECK"),Raw_Data!K196))</f>
        <v>46195</v>
      </c>
      <c r="L192" s="33" t="str">
        <f aca="false">IF(Raw_Data!L196="","",Raw_Data!L196)</f>
        <v>Waiting time at the mobile clinic is long during afternoon hours.</v>
      </c>
      <c r="M192" s="34" t="n">
        <f aca="false">IF(OR(B192="",K192=""),"",IFERROR(K192-B192,"CHECK"))</f>
        <v>4</v>
      </c>
      <c r="N192" s="34" t="n">
        <f aca="false">IFERROR(INDEX(Reference_Lists!$H$13:$H$14,MATCH(G192,Reference_Lists!$G$13:$G$14,0)),"UNMATCHED")</f>
        <v>15</v>
      </c>
      <c r="O192" s="35" t="b">
        <f aca="false">IF(AND(J192="Closed",ISNUMBER(M192),ISNUMBER(N192),M192&gt;=0),M192&lt;=N192,"NOT ASSESSED")</f>
        <v>1</v>
      </c>
      <c r="P192" s="36" t="str">
        <f aca="false">Raw_Data!A196</f>
        <v>CFM-2026-0034</v>
      </c>
      <c r="Q192" s="37" t="str">
        <f aca="false">IFERROR(IF(OR($A192="",$P192=""),"MISSING ID",IF(EXACT($A192,$P192),"ALIGNED","MISMATCH")),"CHECK")</f>
        <v>ALIGNED</v>
      </c>
    </row>
    <row r="193" customFormat="false" ht="19.5" hidden="false" customHeight="true" outlineLevel="0" collapsed="false">
      <c r="A193" s="29" t="s">
        <v>311</v>
      </c>
      <c r="B193" s="30" t="n">
        <f aca="false">IF(Raw_Data!B197="","",IF(ISTEXT(Raw_Data!B197),IFERROR(DATE(VALUE(RIGHT(TRIM(Raw_Data!B197),4)),VALUE(MID(TRIM(Raw_Data!B197),4,2)),VALUE(LEFT(TRIM(Raw_Data!B197),2))),"CHECK"),Raw_Data!B197))</f>
        <v>46082</v>
      </c>
      <c r="C193" s="31" t="str">
        <f aca="false">IFERROR(INDEX(Reference_Lists!$C$23:$C$35,MATCH(PROPER(TRIM(Raw_Data!C197)),Reference_Lists!$B$23:$B$35,0)),"UNMATCHED")</f>
        <v>Suggestion Box</v>
      </c>
      <c r="D193" s="31" t="str">
        <f aca="false">IFERROR(INDEX(Reference_Lists!$C$36:$C$50,MATCH(PROPER(TRIM(Raw_Data!D197)),Reference_Lists!$B$36:$B$50,0)),"UNMATCHED")</f>
        <v>Deir al-Balah</v>
      </c>
      <c r="E193" s="31" t="str">
        <f aca="false">IF(Raw_Data!E197="","",Raw_Data!E197)</f>
        <v>Nutrition</v>
      </c>
      <c r="F193" s="31" t="str">
        <f aca="false">IF(Raw_Data!F197="","",Raw_Data!F197)</f>
        <v>Suggestion</v>
      </c>
      <c r="G193" s="32" t="str">
        <f aca="false">IF(Raw_Data!G197="","",Raw_Data!G197)</f>
        <v>Non-Sensitive</v>
      </c>
      <c r="H193" s="32" t="str">
        <f aca="false">IFERROR(INDEX(Reference_Lists!$C$51:$C$57,MATCH(PROPER(TRIM(Raw_Data!H197)),Reference_Lists!$B$51:$B$57,0)),"UNMATCHED")</f>
        <v>Male</v>
      </c>
      <c r="I193" s="32" t="str">
        <f aca="false">IF(Raw_Data!I197="","",Raw_Data!I197)</f>
        <v>30-44</v>
      </c>
      <c r="J193" s="32" t="str">
        <f aca="false">IFERROR(INDEX(Reference_Lists!$C$58:$C$65,MATCH(PROPER(TRIM(Raw_Data!J197)),Reference_Lists!$B$58:$B$65,0)),"UNMATCHED")</f>
        <v>Closed</v>
      </c>
      <c r="K193" s="30" t="n">
        <f aca="false">IF(Raw_Data!K197="","",IF(ISTEXT(Raw_Data!K197),IFERROR(DATE(VALUE(RIGHT(TRIM(Raw_Data!K197),4)),VALUE(MID(TRIM(Raw_Data!K197),4,2)),VALUE(LEFT(TRIM(Raw_Data!K197),2))),"CHECK"),Raw_Data!K197))</f>
        <v>46094</v>
      </c>
      <c r="L193" s="33" t="str">
        <f aca="false">IF(Raw_Data!L197="","",Raw_Data!L197)</f>
        <v>Requesting a screening session closer to the northern shelter.</v>
      </c>
      <c r="M193" s="34" t="n">
        <f aca="false">IF(OR(B193="",K193=""),"",IFERROR(K193-B193,"CHECK"))</f>
        <v>12</v>
      </c>
      <c r="N193" s="34" t="n">
        <f aca="false">IFERROR(INDEX(Reference_Lists!$H$13:$H$14,MATCH(G193,Reference_Lists!$G$13:$G$14,0)),"UNMATCHED")</f>
        <v>15</v>
      </c>
      <c r="O193" s="35" t="b">
        <f aca="false">IF(AND(J193="Closed",ISNUMBER(M193),ISNUMBER(N193),M193&gt;=0),M193&lt;=N193,"NOT ASSESSED")</f>
        <v>1</v>
      </c>
      <c r="P193" s="36" t="str">
        <f aca="false">Raw_Data!A197</f>
        <v>CFM-2026-0090</v>
      </c>
      <c r="Q193" s="37" t="str">
        <f aca="false">IFERROR(IF(OR($A193="",$P193=""),"MISSING ID",IF(EXACT($A193,$P193),"ALIGNED","MISMATCH")),"CHECK")</f>
        <v>ALIGNED</v>
      </c>
    </row>
    <row r="194" customFormat="false" ht="19.5" hidden="false" customHeight="true" outlineLevel="0" collapsed="false">
      <c r="A194" s="29" t="s">
        <v>312</v>
      </c>
      <c r="B194" s="30" t="n">
        <f aca="false">IF(Raw_Data!B198="","",IF(ISTEXT(Raw_Data!B198),IFERROR(DATE(VALUE(RIGHT(TRIM(Raw_Data!B198),4)),VALUE(MID(TRIM(Raw_Data!B198),4,2)),VALUE(LEFT(TRIM(Raw_Data!B198),2))),"CHECK"),Raw_Data!B198))</f>
        <v>46204</v>
      </c>
      <c r="C194" s="31" t="str">
        <f aca="false">IFERROR(INDEX(Reference_Lists!$C$23:$C$35,MATCH(PROPER(TRIM(Raw_Data!C198)),Reference_Lists!$B$23:$B$35,0)),"UNMATCHED")</f>
        <v>Suggestion Box</v>
      </c>
      <c r="D194" s="31" t="str">
        <f aca="false">IFERROR(INDEX(Reference_Lists!$C$36:$C$50,MATCH(PROPER(TRIM(Raw_Data!D198)),Reference_Lists!$B$36:$B$50,0)),"UNMATCHED")</f>
        <v>Jabalia</v>
      </c>
      <c r="E194" s="31" t="str">
        <f aca="false">IF(Raw_Data!E198="","",Raw_Data!E198)</f>
        <v>Shelter</v>
      </c>
      <c r="F194" s="31" t="str">
        <f aca="false">IF(Raw_Data!F198="","",Raw_Data!F198)</f>
        <v>Appreciation</v>
      </c>
      <c r="G194" s="32" t="str">
        <f aca="false">IF(Raw_Data!G198="","",Raw_Data!G198)</f>
        <v>Non-Sensitive</v>
      </c>
      <c r="H194" s="32" t="str">
        <f aca="false">IFERROR(INDEX(Reference_Lists!$C$51:$C$57,MATCH(PROPER(TRIM(Raw_Data!H198)),Reference_Lists!$B$51:$B$57,0)),"UNMATCHED")</f>
        <v>Male</v>
      </c>
      <c r="I194" s="32" t="str">
        <f aca="false">IF(Raw_Data!I198="","",Raw_Data!I198)</f>
        <v>30-44</v>
      </c>
      <c r="J194" s="32" t="str">
        <f aca="false">IFERROR(INDEX(Reference_Lists!$C$58:$C$65,MATCH(PROPER(TRIM(Raw_Data!J198)),Reference_Lists!$B$58:$B$65,0)),"UNMATCHED")</f>
        <v>Open</v>
      </c>
      <c r="K194" s="30" t="str">
        <f aca="false">IF(Raw_Data!K198="","",IF(ISTEXT(Raw_Data!K198),IFERROR(DATE(VALUE(RIGHT(TRIM(Raw_Data!K198),4)),VALUE(MID(TRIM(Raw_Data!K198),4,2)),VALUE(LEFT(TRIM(Raw_Data!K198),2))),"CHECK"),Raw_Data!K198))</f>
        <v/>
      </c>
      <c r="L194" s="33" t="str">
        <f aca="false">IF(Raw_Data!L198="","",Raw_Data!L198)</f>
        <v>Tarpaulin received is torn and does not cover the shelter area.</v>
      </c>
      <c r="M194" s="34" t="str">
        <f aca="false">IF(OR(B194="",K194=""),"",IFERROR(K194-B194,"CHECK"))</f>
        <v/>
      </c>
      <c r="N194" s="34" t="n">
        <f aca="false">IFERROR(INDEX(Reference_Lists!$H$13:$H$14,MATCH(G194,Reference_Lists!$G$13:$G$14,0)),"UNMATCHED")</f>
        <v>15</v>
      </c>
      <c r="O194" s="32" t="str">
        <f aca="false">IF(AND(J194="Closed",ISNUMBER(M194),ISNUMBER(N194),M194&gt;=0),M194&lt;=N194,"NOT ASSESSED")</f>
        <v>NOT ASSESSED</v>
      </c>
      <c r="P194" s="36" t="str">
        <f aca="false">Raw_Data!A198</f>
        <v>CFM-2026-0470</v>
      </c>
      <c r="Q194" s="37" t="str">
        <f aca="false">IFERROR(IF(OR($A194="",$P194=""),"MISSING ID",IF(EXACT($A194,$P194),"ALIGNED","MISMATCH")),"CHECK")</f>
        <v>ALIGNED</v>
      </c>
    </row>
    <row r="195" customFormat="false" ht="19.5" hidden="false" customHeight="true" outlineLevel="0" collapsed="false">
      <c r="A195" s="29" t="s">
        <v>313</v>
      </c>
      <c r="B195" s="30" t="n">
        <f aca="false">IF(Raw_Data!B199="","",IF(ISTEXT(Raw_Data!B199),IFERROR(DATE(VALUE(RIGHT(TRIM(Raw_Data!B199),4)),VALUE(MID(TRIM(Raw_Data!B199),4,2)),VALUE(LEFT(TRIM(Raw_Data!B199),2))),"CHECK"),Raw_Data!B199))</f>
        <v>46058</v>
      </c>
      <c r="C195" s="31" t="str">
        <f aca="false">IFERROR(INDEX(Reference_Lists!$C$23:$C$35,MATCH(PROPER(TRIM(Raw_Data!C199)),Reference_Lists!$B$23:$B$35,0)),"UNMATCHED")</f>
        <v>Community Focal Point</v>
      </c>
      <c r="D195" s="31" t="str">
        <f aca="false">IFERROR(INDEX(Reference_Lists!$C$36:$C$50,MATCH(PROPER(TRIM(Raw_Data!D199)),Reference_Lists!$B$36:$B$50,0)),"UNMATCHED")</f>
        <v>Nuseirat</v>
      </c>
      <c r="E195" s="31" t="str">
        <f aca="false">IF(Raw_Data!E199="","",Raw_Data!E199)</f>
        <v>Health</v>
      </c>
      <c r="F195" s="31" t="str">
        <f aca="false">IF(Raw_Data!F199="","",Raw_Data!F199)</f>
        <v>Request for Information</v>
      </c>
      <c r="G195" s="32" t="str">
        <f aca="false">IF(Raw_Data!G199="","",Raw_Data!G199)</f>
        <v>Non-Sensitive</v>
      </c>
      <c r="H195" s="32" t="str">
        <f aca="false">IFERROR(INDEX(Reference_Lists!$C$51:$C$57,MATCH(PROPER(TRIM(Raw_Data!H199)),Reference_Lists!$B$51:$B$57,0)),"UNMATCHED")</f>
        <v>Female</v>
      </c>
      <c r="I195" s="32" t="str">
        <f aca="false">IF(Raw_Data!I199="","",Raw_Data!I199)</f>
        <v>18-29</v>
      </c>
      <c r="J195" s="32" t="str">
        <f aca="false">IFERROR(INDEX(Reference_Lists!$C$58:$C$65,MATCH(PROPER(TRIM(Raw_Data!J199)),Reference_Lists!$B$58:$B$65,0)),"UNMATCHED")</f>
        <v>In Progress</v>
      </c>
      <c r="K195" s="30" t="str">
        <f aca="false">IF(Raw_Data!K199="","",IF(ISTEXT(Raw_Data!K199),IFERROR(DATE(VALUE(RIGHT(TRIM(Raw_Data!K199),4)),VALUE(MID(TRIM(Raw_Data!K199),4,2)),VALUE(LEFT(TRIM(Raw_Data!K199),2))),"CHECK"),Raw_Data!K199))</f>
        <v/>
      </c>
      <c r="L195" s="33" t="str">
        <f aca="false">IF(Raw_Data!L199="","",Raw_Data!L199)</f>
        <v>Clinic opening hours are not clear to the community.</v>
      </c>
      <c r="M195" s="34" t="str">
        <f aca="false">IF(OR(B195="",K195=""),"",IFERROR(K195-B195,"CHECK"))</f>
        <v/>
      </c>
      <c r="N195" s="34" t="n">
        <f aca="false">IFERROR(INDEX(Reference_Lists!$H$13:$H$14,MATCH(G195,Reference_Lists!$G$13:$G$14,0)),"UNMATCHED")</f>
        <v>15</v>
      </c>
      <c r="O195" s="32" t="str">
        <f aca="false">IF(AND(J195="Closed",ISNUMBER(M195),ISNUMBER(N195),M195&gt;=0),M195&lt;=N195,"NOT ASSESSED")</f>
        <v>NOT ASSESSED</v>
      </c>
      <c r="P195" s="36" t="str">
        <f aca="false">Raw_Data!A199</f>
        <v>CFM-2026-0076</v>
      </c>
      <c r="Q195" s="37" t="str">
        <f aca="false">IFERROR(IF(OR($A195="",$P195=""),"MISSING ID",IF(EXACT($A195,$P195),"ALIGNED","MISMATCH")),"CHECK")</f>
        <v>ALIGNED</v>
      </c>
    </row>
    <row r="196" customFormat="false" ht="19.5" hidden="false" customHeight="true" outlineLevel="0" collapsed="false">
      <c r="A196" s="29" t="s">
        <v>314</v>
      </c>
      <c r="B196" s="30" t="n">
        <f aca="false">IF(Raw_Data!B200="","",IF(ISTEXT(Raw_Data!B200),IFERROR(DATE(VALUE(RIGHT(TRIM(Raw_Data!B200),4)),VALUE(MID(TRIM(Raw_Data!B200),4,2)),VALUE(LEFT(TRIM(Raw_Data!B200),2))),"CHECK"),Raw_Data!B200))</f>
        <v>46073</v>
      </c>
      <c r="C196" s="31" t="str">
        <f aca="false">IFERROR(INDEX(Reference_Lists!$C$23:$C$35,MATCH(PROPER(TRIM(Raw_Data!C200)),Reference_Lists!$B$23:$B$35,0)),"UNMATCHED")</f>
        <v>Suggestion Box</v>
      </c>
      <c r="D196" s="31" t="str">
        <f aca="false">IFERROR(INDEX(Reference_Lists!$C$36:$C$50,MATCH(PROPER(TRIM(Raw_Data!D200)),Reference_Lists!$B$36:$B$50,0)),"UNMATCHED")</f>
        <v>Nuseirat</v>
      </c>
      <c r="E196" s="31" t="str">
        <f aca="false">IF(Raw_Data!E200="","",Raw_Data!E200)</f>
        <v>Health</v>
      </c>
      <c r="F196" s="31" t="str">
        <f aca="false">IF(Raw_Data!F200="","",Raw_Data!F200)</f>
        <v>Complaint</v>
      </c>
      <c r="G196" s="32" t="str">
        <f aca="false">IF(Raw_Data!G200="","",Raw_Data!G200)</f>
        <v>Non-Sensitive</v>
      </c>
      <c r="H196" s="32" t="str">
        <f aca="false">IFERROR(INDEX(Reference_Lists!$C$51:$C$57,MATCH(PROPER(TRIM(Raw_Data!H200)),Reference_Lists!$B$51:$B$57,0)),"UNMATCHED")</f>
        <v>Female</v>
      </c>
      <c r="I196" s="32" t="str">
        <f aca="false">IF(Raw_Data!I200="","",Raw_Data!I200)</f>
        <v>60+</v>
      </c>
      <c r="J196" s="32" t="str">
        <f aca="false">IFERROR(INDEX(Reference_Lists!$C$58:$C$65,MATCH(PROPER(TRIM(Raw_Data!J200)),Reference_Lists!$B$58:$B$65,0)),"UNMATCHED")</f>
        <v>Closed</v>
      </c>
      <c r="K196" s="30" t="n">
        <f aca="false">IF(Raw_Data!K200="","",IF(ISTEXT(Raw_Data!K200),IFERROR(DATE(VALUE(RIGHT(TRIM(Raw_Data!K200),4)),VALUE(MID(TRIM(Raw_Data!K200),4,2)),VALUE(LEFT(TRIM(Raw_Data!K200),2))),"CHECK"),Raw_Data!K200))</f>
        <v>46078</v>
      </c>
      <c r="L196" s="33" t="str">
        <f aca="false">IF(Raw_Data!L200="","",Raw_Data!L200)</f>
        <v>Waiting time at the mobile clinic is long during afternoon hours.</v>
      </c>
      <c r="M196" s="34" t="n">
        <f aca="false">IF(OR(B196="",K196=""),"",IFERROR(K196-B196,"CHECK"))</f>
        <v>5</v>
      </c>
      <c r="N196" s="34" t="n">
        <f aca="false">IFERROR(INDEX(Reference_Lists!$H$13:$H$14,MATCH(G196,Reference_Lists!$G$13:$G$14,0)),"UNMATCHED")</f>
        <v>15</v>
      </c>
      <c r="O196" s="35" t="b">
        <f aca="false">IF(AND(J196="Closed",ISNUMBER(M196),ISNUMBER(N196),M196&gt;=0),M196&lt;=N196,"NOT ASSESSED")</f>
        <v>1</v>
      </c>
      <c r="P196" s="36" t="str">
        <f aca="false">Raw_Data!A200</f>
        <v>CFM-2026-0155</v>
      </c>
      <c r="Q196" s="37" t="str">
        <f aca="false">IFERROR(IF(OR($A196="",$P196=""),"MISSING ID",IF(EXACT($A196,$P196),"ALIGNED","MISMATCH")),"CHECK")</f>
        <v>ALIGNED</v>
      </c>
    </row>
    <row r="197" customFormat="false" ht="19.5" hidden="false" customHeight="true" outlineLevel="0" collapsed="false">
      <c r="A197" s="29" t="s">
        <v>315</v>
      </c>
      <c r="B197" s="30" t="n">
        <f aca="false">IF(Raw_Data!B201="","",IF(ISTEXT(Raw_Data!B201),IFERROR(DATE(VALUE(RIGHT(TRIM(Raw_Data!B201),4)),VALUE(MID(TRIM(Raw_Data!B201),4,2)),VALUE(LEFT(TRIM(Raw_Data!B201),2))),"CHECK"),Raw_Data!B201))</f>
        <v>46039</v>
      </c>
      <c r="C197" s="31" t="str">
        <f aca="false">IFERROR(INDEX(Reference_Lists!$C$23:$C$35,MATCH(PROPER(TRIM(Raw_Data!C201)),Reference_Lists!$B$23:$B$35,0)),"UNMATCHED")</f>
        <v>Community Focal Point</v>
      </c>
      <c r="D197" s="31" t="str">
        <f aca="false">IFERROR(INDEX(Reference_Lists!$C$36:$C$50,MATCH(PROPER(TRIM(Raw_Data!D201)),Reference_Lists!$B$36:$B$50,0)),"UNMATCHED")</f>
        <v>Nuseirat</v>
      </c>
      <c r="E197" s="31" t="str">
        <f aca="false">IF(Raw_Data!E201="","",Raw_Data!E201)</f>
        <v>Nutrition</v>
      </c>
      <c r="F197" s="31" t="str">
        <f aca="false">IF(Raw_Data!F201="","",Raw_Data!F201)</f>
        <v>Suggestion</v>
      </c>
      <c r="G197" s="32" t="str">
        <f aca="false">IF(Raw_Data!G201="","",Raw_Data!G201)</f>
        <v>Non-Sensitive</v>
      </c>
      <c r="H197" s="32" t="str">
        <f aca="false">IFERROR(INDEX(Reference_Lists!$C$51:$C$57,MATCH(PROPER(TRIM(Raw_Data!H201)),Reference_Lists!$B$51:$B$57,0)),"UNMATCHED")</f>
        <v>Female</v>
      </c>
      <c r="I197" s="32" t="str">
        <f aca="false">IF(Raw_Data!I201="","",Raw_Data!I201)</f>
        <v>Under 18</v>
      </c>
      <c r="J197" s="32" t="str">
        <f aca="false">IFERROR(INDEX(Reference_Lists!$C$58:$C$65,MATCH(PROPER(TRIM(Raw_Data!J201)),Reference_Lists!$B$58:$B$65,0)),"UNMATCHED")</f>
        <v>Closed</v>
      </c>
      <c r="K197" s="30" t="n">
        <f aca="false">IF(Raw_Data!K201="","",IF(ISTEXT(Raw_Data!K201),IFERROR(DATE(VALUE(RIGHT(TRIM(Raw_Data!K201),4)),VALUE(MID(TRIM(Raw_Data!K201),4,2)),VALUE(LEFT(TRIM(Raw_Data!K201),2))),"CHECK"),Raw_Data!K201))</f>
        <v>46041</v>
      </c>
      <c r="L197" s="33" t="str">
        <f aca="false">IF(Raw_Data!L201="","",Raw_Data!L201)</f>
        <v>Supplement was received but the guidance sheet was in English only.</v>
      </c>
      <c r="M197" s="34" t="n">
        <f aca="false">IF(OR(B197="",K197=""),"",IFERROR(K197-B197,"CHECK"))</f>
        <v>2</v>
      </c>
      <c r="N197" s="34" t="n">
        <f aca="false">IFERROR(INDEX(Reference_Lists!$H$13:$H$14,MATCH(G197,Reference_Lists!$G$13:$G$14,0)),"UNMATCHED")</f>
        <v>15</v>
      </c>
      <c r="O197" s="35" t="b">
        <f aca="false">IF(AND(J197="Closed",ISNUMBER(M197),ISNUMBER(N197),M197&gt;=0),M197&lt;=N197,"NOT ASSESSED")</f>
        <v>1</v>
      </c>
      <c r="P197" s="36" t="str">
        <f aca="false">Raw_Data!A201</f>
        <v>CFM-2026-0037</v>
      </c>
      <c r="Q197" s="37" t="str">
        <f aca="false">IFERROR(IF(OR($A197="",$P197=""),"MISSING ID",IF(EXACT($A197,$P197),"ALIGNED","MISMATCH")),"CHECK")</f>
        <v>ALIGNED</v>
      </c>
    </row>
    <row r="198" customFormat="false" ht="19.5" hidden="false" customHeight="true" outlineLevel="0" collapsed="false">
      <c r="A198" s="29" t="s">
        <v>316</v>
      </c>
      <c r="B198" s="30" t="n">
        <f aca="false">IF(Raw_Data!B202="","",IF(ISTEXT(Raw_Data!B202),IFERROR(DATE(VALUE(RIGHT(TRIM(Raw_Data!B202),4)),VALUE(MID(TRIM(Raw_Data!B202),4,2)),VALUE(LEFT(TRIM(Raw_Data!B202),2))),"CHECK"),Raw_Data!B202))</f>
        <v>46161</v>
      </c>
      <c r="C198" s="31" t="str">
        <f aca="false">IFERROR(INDEX(Reference_Lists!$C$23:$C$35,MATCH(PROPER(TRIM(Raw_Data!C202)),Reference_Lists!$B$23:$B$35,0)),"UNMATCHED")</f>
        <v>Suggestion Box</v>
      </c>
      <c r="D198" s="31" t="str">
        <f aca="false">IFERROR(INDEX(Reference_Lists!$C$36:$C$50,MATCH(PROPER(TRIM(Raw_Data!D202)),Reference_Lists!$B$36:$B$50,0)),"UNMATCHED")</f>
        <v>Gaza City</v>
      </c>
      <c r="E198" s="31" t="str">
        <f aca="false">IF(Raw_Data!E202="","",Raw_Data!E202)</f>
        <v>Health</v>
      </c>
      <c r="F198" s="31" t="str">
        <f aca="false">IF(Raw_Data!F202="","",Raw_Data!F202)</f>
        <v>Request for Information</v>
      </c>
      <c r="G198" s="32" t="str">
        <f aca="false">IF(Raw_Data!G202="","",Raw_Data!G202)</f>
        <v>Non-Sensitive</v>
      </c>
      <c r="H198" s="32" t="str">
        <f aca="false">IFERROR(INDEX(Reference_Lists!$C$51:$C$57,MATCH(PROPER(TRIM(Raw_Data!H202)),Reference_Lists!$B$51:$B$57,0)),"UNMATCHED")</f>
        <v>Male</v>
      </c>
      <c r="I198" s="32" t="str">
        <f aca="false">IF(Raw_Data!I202="","",Raw_Data!I202)</f>
        <v>45-59</v>
      </c>
      <c r="J198" s="32" t="str">
        <f aca="false">IFERROR(INDEX(Reference_Lists!$C$58:$C$65,MATCH(PROPER(TRIM(Raw_Data!J202)),Reference_Lists!$B$58:$B$65,0)),"UNMATCHED")</f>
        <v>Closed</v>
      </c>
      <c r="K198" s="30" t="n">
        <f aca="false">IF(Raw_Data!K202="","",IF(ISTEXT(Raw_Data!K202),IFERROR(DATE(VALUE(RIGHT(TRIM(Raw_Data!K202),4)),VALUE(MID(TRIM(Raw_Data!K202),4,2)),VALUE(LEFT(TRIM(Raw_Data!K202),2))),"CHECK"),Raw_Data!K202))</f>
        <v>46172</v>
      </c>
      <c r="L198" s="33" t="str">
        <f aca="false">IF(Raw_Data!L202="","",Raw_Data!L202)</f>
        <v>Requesting a referral pathway for a family member with limited mobility.</v>
      </c>
      <c r="M198" s="34" t="n">
        <f aca="false">IF(OR(B198="",K198=""),"",IFERROR(K198-B198,"CHECK"))</f>
        <v>11</v>
      </c>
      <c r="N198" s="34" t="n">
        <f aca="false">IFERROR(INDEX(Reference_Lists!$H$13:$H$14,MATCH(G198,Reference_Lists!$G$13:$G$14,0)),"UNMATCHED")</f>
        <v>15</v>
      </c>
      <c r="O198" s="35" t="b">
        <f aca="false">IF(AND(J198="Closed",ISNUMBER(M198),ISNUMBER(N198),M198&gt;=0),M198&lt;=N198,"NOT ASSESSED")</f>
        <v>1</v>
      </c>
      <c r="P198" s="36" t="str">
        <f aca="false">Raw_Data!A202</f>
        <v>CFM-2026-0381</v>
      </c>
      <c r="Q198" s="37" t="str">
        <f aca="false">IFERROR(IF(OR($A198="",$P198=""),"MISSING ID",IF(EXACT($A198,$P198),"ALIGNED","MISMATCH")),"CHECK")</f>
        <v>ALIGNED</v>
      </c>
    </row>
    <row r="199" customFormat="false" ht="19.5" hidden="false" customHeight="true" outlineLevel="0" collapsed="false">
      <c r="A199" s="29" t="s">
        <v>317</v>
      </c>
      <c r="B199" s="30" t="n">
        <f aca="false">IF(Raw_Data!B203="","",IF(ISTEXT(Raw_Data!B203),IFERROR(DATE(VALUE(RIGHT(TRIM(Raw_Data!B203),4)),VALUE(MID(TRIM(Raw_Data!B203),4,2)),VALUE(LEFT(TRIM(Raw_Data!B203),2))),"CHECK"),Raw_Data!B203))</f>
        <v>46047</v>
      </c>
      <c r="C199" s="31" t="str">
        <f aca="false">IFERROR(INDEX(Reference_Lists!$C$23:$C$35,MATCH(PROPER(TRIM(Raw_Data!C203)),Reference_Lists!$B$23:$B$35,0)),"UNMATCHED")</f>
        <v>Help Desk</v>
      </c>
      <c r="D199" s="31" t="str">
        <f aca="false">IFERROR(INDEX(Reference_Lists!$C$36:$C$50,MATCH(PROPER(TRIM(Raw_Data!D203)),Reference_Lists!$B$36:$B$50,0)),"UNMATCHED")</f>
        <v>Jabalia</v>
      </c>
      <c r="E199" s="31" t="str">
        <f aca="false">IF(Raw_Data!E203="","",Raw_Data!E203)</f>
        <v>Food Security</v>
      </c>
      <c r="F199" s="31" t="str">
        <f aca="false">IF(Raw_Data!F203="","",Raw_Data!F203)</f>
        <v>Complaint</v>
      </c>
      <c r="G199" s="32" t="str">
        <f aca="false">IF(Raw_Data!G203="","",Raw_Data!G203)</f>
        <v/>
      </c>
      <c r="H199" s="32" t="str">
        <f aca="false">IFERROR(INDEX(Reference_Lists!$C$51:$C$57,MATCH(PROPER(TRIM(Raw_Data!H203)),Reference_Lists!$B$51:$B$57,0)),"UNMATCHED")</f>
        <v>Female</v>
      </c>
      <c r="I199" s="32" t="str">
        <f aca="false">IF(Raw_Data!I203="","",Raw_Data!I203)</f>
        <v>18-29</v>
      </c>
      <c r="J199" s="32" t="str">
        <f aca="false">IFERROR(INDEX(Reference_Lists!$C$58:$C$65,MATCH(PROPER(TRIM(Raw_Data!J203)),Reference_Lists!$B$58:$B$65,0)),"UNMATCHED")</f>
        <v>Open</v>
      </c>
      <c r="K199" s="30" t="str">
        <f aca="false">IF(Raw_Data!K203="","",IF(ISTEXT(Raw_Data!K203),IFERROR(DATE(VALUE(RIGHT(TRIM(Raw_Data!K203),4)),VALUE(MID(TRIM(Raw_Data!K203),4,2)),VALUE(LEFT(TRIM(Raw_Data!K203),2))),"CHECK"),Raw_Data!K203))</f>
        <v/>
      </c>
      <c r="L199" s="33" t="str">
        <f aca="false">IF(Raw_Data!L203="","",Raw_Data!L203)</f>
        <v>Food parcel contents did not match the announced list.</v>
      </c>
      <c r="M199" s="34" t="str">
        <f aca="false">IF(OR(B199="",K199=""),"",IFERROR(K199-B199,"CHECK"))</f>
        <v/>
      </c>
      <c r="N199" s="34" t="str">
        <f aca="false">IFERROR(INDEX(Reference_Lists!$H$13:$H$14,MATCH(G199,Reference_Lists!$G$13:$G$14,0)),"UNMATCHED")</f>
        <v>UNMATCHED</v>
      </c>
      <c r="O199" s="32" t="str">
        <f aca="false">IF(AND(J199="Closed",ISNUMBER(M199),ISNUMBER(N199),M199&gt;=0),M199&lt;=N199,"NOT ASSESSED")</f>
        <v>NOT ASSESSED</v>
      </c>
      <c r="P199" s="36" t="str">
        <f aca="false">Raw_Data!A203</f>
        <v>CFM-2026-0158</v>
      </c>
      <c r="Q199" s="37" t="str">
        <f aca="false">IFERROR(IF(OR($A199="",$P199=""),"MISSING ID",IF(EXACT($A199,$P199),"ALIGNED","MISMATCH")),"CHECK")</f>
        <v>ALIGNED</v>
      </c>
    </row>
    <row r="200" customFormat="false" ht="19.5" hidden="false" customHeight="true" outlineLevel="0" collapsed="false">
      <c r="A200" s="29" t="s">
        <v>318</v>
      </c>
      <c r="B200" s="30" t="n">
        <f aca="false">IF(Raw_Data!B204="","",IF(ISTEXT(Raw_Data!B204),IFERROR(DATE(VALUE(RIGHT(TRIM(Raw_Data!B204),4)),VALUE(MID(TRIM(Raw_Data!B204),4,2)),VALUE(LEFT(TRIM(Raw_Data!B204),2))),"CHECK"),Raw_Data!B204))</f>
        <v>46073</v>
      </c>
      <c r="C200" s="31" t="str">
        <f aca="false">IFERROR(INDEX(Reference_Lists!$C$23:$C$35,MATCH(PROPER(TRIM(Raw_Data!C204)),Reference_Lists!$B$23:$B$35,0)),"UNMATCHED")</f>
        <v>In-Person at Distribution</v>
      </c>
      <c r="D200" s="31" t="str">
        <f aca="false">IFERROR(INDEX(Reference_Lists!$C$36:$C$50,MATCH(PROPER(TRIM(Raw_Data!D204)),Reference_Lists!$B$36:$B$50,0)),"UNMATCHED")</f>
        <v>Gaza City</v>
      </c>
      <c r="E200" s="31" t="str">
        <f aca="false">IF(Raw_Data!E204="","",Raw_Data!E204)</f>
        <v>Nutrition</v>
      </c>
      <c r="F200" s="31" t="str">
        <f aca="false">IF(Raw_Data!F204="","",Raw_Data!F204)</f>
        <v>Complaint</v>
      </c>
      <c r="G200" s="32" t="str">
        <f aca="false">IF(Raw_Data!G204="","",Raw_Data!G204)</f>
        <v>Non-Sensitive</v>
      </c>
      <c r="H200" s="32" t="str">
        <f aca="false">IFERROR(INDEX(Reference_Lists!$C$51:$C$57,MATCH(PROPER(TRIM(Raw_Data!H204)),Reference_Lists!$B$51:$B$57,0)),"UNMATCHED")</f>
        <v>Female</v>
      </c>
      <c r="I200" s="32" t="str">
        <f aca="false">IF(Raw_Data!I204="","",Raw_Data!I204)</f>
        <v>30-44</v>
      </c>
      <c r="J200" s="32" t="str">
        <f aca="false">IFERROR(INDEX(Reference_Lists!$C$58:$C$65,MATCH(PROPER(TRIM(Raw_Data!J204)),Reference_Lists!$B$58:$B$65,0)),"UNMATCHED")</f>
        <v>Closed</v>
      </c>
      <c r="K200" s="30" t="n">
        <f aca="false">IF(Raw_Data!K204="","",IF(ISTEXT(Raw_Data!K204),IFERROR(DATE(VALUE(RIGHT(TRIM(Raw_Data!K204),4)),VALUE(MID(TRIM(Raw_Data!K204),4,2)),VALUE(LEFT(TRIM(Raw_Data!K204),2))),"CHECK"),Raw_Data!K204))</f>
        <v>46099</v>
      </c>
      <c r="L200" s="33" t="str">
        <f aca="false">IF(Raw_Data!L204="","",Raw_Data!L204)</f>
        <v>Asking whether children above five are included in the screening.</v>
      </c>
      <c r="M200" s="34" t="n">
        <f aca="false">IF(OR(B200="",K200=""),"",IFERROR(K200-B200,"CHECK"))</f>
        <v>26</v>
      </c>
      <c r="N200" s="34" t="n">
        <f aca="false">IFERROR(INDEX(Reference_Lists!$H$13:$H$14,MATCH(G200,Reference_Lists!$G$13:$G$14,0)),"UNMATCHED")</f>
        <v>15</v>
      </c>
      <c r="O200" s="35" t="b">
        <f aca="false">IF(AND(J200="Closed",ISNUMBER(M200),ISNUMBER(N200),M200&gt;=0),M200&lt;=N200,"NOT ASSESSED")</f>
        <v>0</v>
      </c>
      <c r="P200" s="36" t="str">
        <f aca="false">Raw_Data!A204</f>
        <v>CFM-2026-0270</v>
      </c>
      <c r="Q200" s="37" t="str">
        <f aca="false">IFERROR(IF(OR($A200="",$P200=""),"MISSING ID",IF(EXACT($A200,$P200),"ALIGNED","MISMATCH")),"CHECK")</f>
        <v>ALIGNED</v>
      </c>
    </row>
    <row r="201" customFormat="false" ht="19.5" hidden="false" customHeight="true" outlineLevel="0" collapsed="false">
      <c r="A201" s="29" t="s">
        <v>319</v>
      </c>
      <c r="B201" s="30" t="n">
        <f aca="false">IF(Raw_Data!B205="","",IF(ISTEXT(Raw_Data!B205),IFERROR(DATE(VALUE(RIGHT(TRIM(Raw_Data!B205),4)),VALUE(MID(TRIM(Raw_Data!B205),4,2)),VALUE(LEFT(TRIM(Raw_Data!B205),2))),"CHECK"),Raw_Data!B205))</f>
        <v>46129</v>
      </c>
      <c r="C201" s="31" t="str">
        <f aca="false">IFERROR(INDEX(Reference_Lists!$C$23:$C$35,MATCH(PROPER(TRIM(Raw_Data!C205)),Reference_Lists!$B$23:$B$35,0)),"UNMATCHED")</f>
        <v>In-Person at Distribution</v>
      </c>
      <c r="D201" s="31" t="str">
        <f aca="false">IFERROR(INDEX(Reference_Lists!$C$36:$C$50,MATCH(PROPER(TRIM(Raw_Data!D205)),Reference_Lists!$B$36:$B$50,0)),"UNMATCHED")</f>
        <v>Khan Yunis</v>
      </c>
      <c r="E201" s="31" t="str">
        <f aca="false">IF(Raw_Data!E205="","",Raw_Data!E205)</f>
        <v>Food Security</v>
      </c>
      <c r="F201" s="31" t="str">
        <f aca="false">IF(Raw_Data!F205="","",Raw_Data!F205)</f>
        <v>Suggestion</v>
      </c>
      <c r="G201" s="32" t="str">
        <f aca="false">IF(Raw_Data!G205="","",Raw_Data!G205)</f>
        <v>Non-Sensitive</v>
      </c>
      <c r="H201" s="32" t="str">
        <f aca="false">IFERROR(INDEX(Reference_Lists!$C$51:$C$57,MATCH(PROPER(TRIM(Raw_Data!H205)),Reference_Lists!$B$51:$B$57,0)),"UNMATCHED")</f>
        <v>Prefer not to say</v>
      </c>
      <c r="I201" s="32" t="str">
        <f aca="false">IF(Raw_Data!I205="","",Raw_Data!I205)</f>
        <v>18-29</v>
      </c>
      <c r="J201" s="32" t="str">
        <f aca="false">IFERROR(INDEX(Reference_Lists!$C$58:$C$65,MATCH(PROPER(TRIM(Raw_Data!J205)),Reference_Lists!$B$58:$B$65,0)),"UNMATCHED")</f>
        <v>Closed</v>
      </c>
      <c r="K201" s="30" t="n">
        <f aca="false">IF(Raw_Data!K205="","",IF(ISTEXT(Raw_Data!K205),IFERROR(DATE(VALUE(RIGHT(TRIM(Raw_Data!K205),4)),VALUE(MID(TRIM(Raw_Data!K205),4,2)),VALUE(LEFT(TRIM(Raw_Data!K205),2))),"CHECK"),Raw_Data!K205))</f>
        <v>46142</v>
      </c>
      <c r="L201" s="33" t="str">
        <f aca="false">IF(Raw_Data!L205="","",Raw_Data!L205)</f>
        <v>Thanking the team for organising the last distribution well.</v>
      </c>
      <c r="M201" s="34" t="n">
        <f aca="false">IF(OR(B201="",K201=""),"",IFERROR(K201-B201,"CHECK"))</f>
        <v>13</v>
      </c>
      <c r="N201" s="34" t="n">
        <f aca="false">IFERROR(INDEX(Reference_Lists!$H$13:$H$14,MATCH(G201,Reference_Lists!$G$13:$G$14,0)),"UNMATCHED")</f>
        <v>15</v>
      </c>
      <c r="O201" s="35" t="b">
        <f aca="false">IF(AND(J201="Closed",ISNUMBER(M201),ISNUMBER(N201),M201&gt;=0),M201&lt;=N201,"NOT ASSESSED")</f>
        <v>1</v>
      </c>
      <c r="P201" s="36" t="str">
        <f aca="false">Raw_Data!A205</f>
        <v>CFM-2026-0483</v>
      </c>
      <c r="Q201" s="37" t="str">
        <f aca="false">IFERROR(IF(OR($A201="",$P201=""),"MISSING ID",IF(EXACT($A201,$P201),"ALIGNED","MISMATCH")),"CHECK")</f>
        <v>ALIGNED</v>
      </c>
    </row>
    <row r="202" customFormat="false" ht="19.5" hidden="false" customHeight="true" outlineLevel="0" collapsed="false">
      <c r="A202" s="29" t="s">
        <v>320</v>
      </c>
      <c r="B202" s="30" t="n">
        <f aca="false">IF(Raw_Data!B206="","",IF(ISTEXT(Raw_Data!B206),IFERROR(DATE(VALUE(RIGHT(TRIM(Raw_Data!B206),4)),VALUE(MID(TRIM(Raw_Data!B206),4,2)),VALUE(LEFT(TRIM(Raw_Data!B206),2))),"CHECK"),Raw_Data!B206))</f>
        <v>46153</v>
      </c>
      <c r="C202" s="31" t="str">
        <f aca="false">IFERROR(INDEX(Reference_Lists!$C$23:$C$35,MATCH(PROPER(TRIM(Raw_Data!C206)),Reference_Lists!$B$23:$B$35,0)),"UNMATCHED")</f>
        <v>Phone Hotline</v>
      </c>
      <c r="D202" s="31" t="str">
        <f aca="false">IFERROR(INDEX(Reference_Lists!$C$36:$C$50,MATCH(PROPER(TRIM(Raw_Data!D206)),Reference_Lists!$B$36:$B$50,0)),"UNMATCHED")</f>
        <v>Nuseirat</v>
      </c>
      <c r="E202" s="31" t="str">
        <f aca="false">IF(Raw_Data!E206="","",Raw_Data!E206)</f>
        <v>Nutrition</v>
      </c>
      <c r="F202" s="31" t="str">
        <f aca="false">IF(Raw_Data!F206="","",Raw_Data!F206)</f>
        <v>Complaint</v>
      </c>
      <c r="G202" s="32" t="str">
        <f aca="false">IF(Raw_Data!G206="","",Raw_Data!G206)</f>
        <v>Non-Sensitive</v>
      </c>
      <c r="H202" s="32" t="str">
        <f aca="false">IFERROR(INDEX(Reference_Lists!$C$51:$C$57,MATCH(PROPER(TRIM(Raw_Data!H206)),Reference_Lists!$B$51:$B$57,0)),"UNMATCHED")</f>
        <v>Prefer not to say</v>
      </c>
      <c r="I202" s="32" t="str">
        <f aca="false">IF(Raw_Data!I206="","",Raw_Data!I206)</f>
        <v>30-44</v>
      </c>
      <c r="J202" s="32" t="str">
        <f aca="false">IFERROR(INDEX(Reference_Lists!$C$58:$C$65,MATCH(PROPER(TRIM(Raw_Data!J206)),Reference_Lists!$B$58:$B$65,0)),"UNMATCHED")</f>
        <v>Open</v>
      </c>
      <c r="K202" s="30" t="str">
        <f aca="false">IF(Raw_Data!K206="","",IF(ISTEXT(Raw_Data!K206),IFERROR(DATE(VALUE(RIGHT(TRIM(Raw_Data!K206),4)),VALUE(MID(TRIM(Raw_Data!K206),4,2)),VALUE(LEFT(TRIM(Raw_Data!K206),2))),"CHECK"),Raw_Data!K206))</f>
        <v/>
      </c>
      <c r="L202" s="33" t="str">
        <f aca="false">IF(Raw_Data!L206="","",Raw_Data!L206)</f>
        <v>Requesting a screening session closer to the northern shelter.</v>
      </c>
      <c r="M202" s="34" t="str">
        <f aca="false">IF(OR(B202="",K202=""),"",IFERROR(K202-B202,"CHECK"))</f>
        <v/>
      </c>
      <c r="N202" s="34" t="n">
        <f aca="false">IFERROR(INDEX(Reference_Lists!$H$13:$H$14,MATCH(G202,Reference_Lists!$G$13:$G$14,0)),"UNMATCHED")</f>
        <v>15</v>
      </c>
      <c r="O202" s="32" t="str">
        <f aca="false">IF(AND(J202="Closed",ISNUMBER(M202),ISNUMBER(N202),M202&gt;=0),M202&lt;=N202,"NOT ASSESSED")</f>
        <v>NOT ASSESSED</v>
      </c>
      <c r="P202" s="36" t="str">
        <f aca="false">Raw_Data!A206</f>
        <v>CFM-2026-0036</v>
      </c>
      <c r="Q202" s="37" t="str">
        <f aca="false">IFERROR(IF(OR($A202="",$P202=""),"MISSING ID",IF(EXACT($A202,$P202),"ALIGNED","MISMATCH")),"CHECK")</f>
        <v>ALIGNED</v>
      </c>
    </row>
    <row r="203" customFormat="false" ht="19.5" hidden="false" customHeight="true" outlineLevel="0" collapsed="false">
      <c r="A203" s="29" t="s">
        <v>321</v>
      </c>
      <c r="B203" s="30" t="n">
        <f aca="false">IF(Raw_Data!B207="","",IF(ISTEXT(Raw_Data!B207),IFERROR(DATE(VALUE(RIGHT(TRIM(Raw_Data!B207),4)),VALUE(MID(TRIM(Raw_Data!B207),4,2)),VALUE(LEFT(TRIM(Raw_Data!B207),2))),"CHECK"),Raw_Data!B207))</f>
        <v>46149</v>
      </c>
      <c r="C203" s="31" t="str">
        <f aca="false">IFERROR(INDEX(Reference_Lists!$C$23:$C$35,MATCH(PROPER(TRIM(Raw_Data!C207)),Reference_Lists!$B$23:$B$35,0)),"UNMATCHED")</f>
        <v>Phone Hotline</v>
      </c>
      <c r="D203" s="31" t="str">
        <f aca="false">IFERROR(INDEX(Reference_Lists!$C$36:$C$50,MATCH(PROPER(TRIM(Raw_Data!D207)),Reference_Lists!$B$36:$B$50,0)),"UNMATCHED")</f>
        <v>Gaza City</v>
      </c>
      <c r="E203" s="31" t="str">
        <f aca="false">IF(Raw_Data!E207="","",Raw_Data!E207)</f>
        <v>Health</v>
      </c>
      <c r="F203" s="31" t="str">
        <f aca="false">IF(Raw_Data!F207="","",Raw_Data!F207)</f>
        <v>Complaint</v>
      </c>
      <c r="G203" s="32" t="str">
        <f aca="false">IF(Raw_Data!G207="","",Raw_Data!G207)</f>
        <v>Non-Sensitive</v>
      </c>
      <c r="H203" s="32" t="str">
        <f aca="false">IFERROR(INDEX(Reference_Lists!$C$51:$C$57,MATCH(PROPER(TRIM(Raw_Data!H207)),Reference_Lists!$B$51:$B$57,0)),"UNMATCHED")</f>
        <v>Female</v>
      </c>
      <c r="I203" s="32" t="str">
        <f aca="false">IF(Raw_Data!I207="","",Raw_Data!I207)</f>
        <v>30-44</v>
      </c>
      <c r="J203" s="32" t="str">
        <f aca="false">IFERROR(INDEX(Reference_Lists!$C$58:$C$65,MATCH(PROPER(TRIM(Raw_Data!J207)),Reference_Lists!$B$58:$B$65,0)),"UNMATCHED")</f>
        <v>Closed</v>
      </c>
      <c r="K203" s="30" t="n">
        <f aca="false">IF(Raw_Data!K207="","",IF(ISTEXT(Raw_Data!K207),IFERROR(DATE(VALUE(RIGHT(TRIM(Raw_Data!K207),4)),VALUE(MID(TRIM(Raw_Data!K207),4,2)),VALUE(LEFT(TRIM(Raw_Data!K207),2))),"CHECK"),Raw_Data!K207))</f>
        <v>46172</v>
      </c>
      <c r="L203" s="33" t="str">
        <f aca="false">IF(Raw_Data!L207="","",Raw_Data!L207)</f>
        <v>Waiting time at the mobile clinic is long during afternoon hours.</v>
      </c>
      <c r="M203" s="34" t="n">
        <f aca="false">IF(OR(B203="",K203=""),"",IFERROR(K203-B203,"CHECK"))</f>
        <v>23</v>
      </c>
      <c r="N203" s="34" t="n">
        <f aca="false">IFERROR(INDEX(Reference_Lists!$H$13:$H$14,MATCH(G203,Reference_Lists!$G$13:$G$14,0)),"UNMATCHED")</f>
        <v>15</v>
      </c>
      <c r="O203" s="35" t="b">
        <f aca="false">IF(AND(J203="Closed",ISNUMBER(M203),ISNUMBER(N203),M203&gt;=0),M203&lt;=N203,"NOT ASSESSED")</f>
        <v>0</v>
      </c>
      <c r="P203" s="36" t="str">
        <f aca="false">Raw_Data!A207</f>
        <v>CFM-2026-0143</v>
      </c>
      <c r="Q203" s="37" t="str">
        <f aca="false">IFERROR(IF(OR($A203="",$P203=""),"MISSING ID",IF(EXACT($A203,$P203),"ALIGNED","MISMATCH")),"CHECK")</f>
        <v>ALIGNED</v>
      </c>
    </row>
    <row r="204" customFormat="false" ht="19.5" hidden="false" customHeight="true" outlineLevel="0" collapsed="false">
      <c r="A204" s="29" t="s">
        <v>322</v>
      </c>
      <c r="B204" s="30" t="n">
        <f aca="false">IF(Raw_Data!B208="","",IF(ISTEXT(Raw_Data!B208),IFERROR(DATE(VALUE(RIGHT(TRIM(Raw_Data!B208),4)),VALUE(MID(TRIM(Raw_Data!B208),4,2)),VALUE(LEFT(TRIM(Raw_Data!B208),2))),"CHECK"),Raw_Data!B208))</f>
        <v>46197</v>
      </c>
      <c r="C204" s="31" t="str">
        <f aca="false">IFERROR(INDEX(Reference_Lists!$C$23:$C$35,MATCH(PROPER(TRIM(Raw_Data!C208)),Reference_Lists!$B$23:$B$35,0)),"UNMATCHED")</f>
        <v>Community Focal Point</v>
      </c>
      <c r="D204" s="31" t="str">
        <f aca="false">IFERROR(INDEX(Reference_Lists!$C$36:$C$50,MATCH(PROPER(TRIM(Raw_Data!D208)),Reference_Lists!$B$36:$B$50,0)),"UNMATCHED")</f>
        <v>Khan Yunis</v>
      </c>
      <c r="E204" s="31" t="str">
        <f aca="false">IF(Raw_Data!E208="","",Raw_Data!E208)</f>
        <v>WASH</v>
      </c>
      <c r="F204" s="31" t="str">
        <f aca="false">IF(Raw_Data!F208="","",Raw_Data!F208)</f>
        <v>Complaint</v>
      </c>
      <c r="G204" s="32" t="str">
        <f aca="false">IF(Raw_Data!G208="","",Raw_Data!G208)</f>
        <v>Non-Sensitive</v>
      </c>
      <c r="H204" s="32" t="str">
        <f aca="false">IFERROR(INDEX(Reference_Lists!$C$51:$C$57,MATCH(PROPER(TRIM(Raw_Data!H208)),Reference_Lists!$B$51:$B$57,0)),"UNMATCHED")</f>
        <v>Female</v>
      </c>
      <c r="I204" s="32" t="str">
        <f aca="false">IF(Raw_Data!I208="","",Raw_Data!I208)</f>
        <v>60+</v>
      </c>
      <c r="J204" s="32" t="str">
        <f aca="false">IFERROR(INDEX(Reference_Lists!$C$58:$C$65,MATCH(PROPER(TRIM(Raw_Data!J208)),Reference_Lists!$B$58:$B$65,0)),"UNMATCHED")</f>
        <v>Open</v>
      </c>
      <c r="K204" s="30" t="n">
        <f aca="false">IF(Raw_Data!K208="","",IF(ISTEXT(Raw_Data!K208),IFERROR(DATE(VALUE(RIGHT(TRIM(Raw_Data!K208),4)),VALUE(MID(TRIM(Raw_Data!K208),4,2)),VALUE(LEFT(TRIM(Raw_Data!K208),2))),"CHECK"),Raw_Data!K208))</f>
        <v>46203</v>
      </c>
      <c r="L204" s="33" t="str">
        <f aca="false">IF(Raw_Data!L208="","",Raw_Data!L208)</f>
        <v>Requesting additional jerrycans for a shared shelter of four families.</v>
      </c>
      <c r="M204" s="34" t="n">
        <f aca="false">IF(OR(B204="",K204=""),"",IFERROR(K204-B204,"CHECK"))</f>
        <v>6</v>
      </c>
      <c r="N204" s="34" t="n">
        <f aca="false">IFERROR(INDEX(Reference_Lists!$H$13:$H$14,MATCH(G204,Reference_Lists!$G$13:$G$14,0)),"UNMATCHED")</f>
        <v>15</v>
      </c>
      <c r="O204" s="32" t="str">
        <f aca="false">IF(AND(J204="Closed",ISNUMBER(M204),ISNUMBER(N204),M204&gt;=0),M204&lt;=N204,"NOT ASSESSED")</f>
        <v>NOT ASSESSED</v>
      </c>
      <c r="P204" s="36" t="str">
        <f aca="false">Raw_Data!A208</f>
        <v>CFM-2026-0386</v>
      </c>
      <c r="Q204" s="37" t="str">
        <f aca="false">IFERROR(IF(OR($A204="",$P204=""),"MISSING ID",IF(EXACT($A204,$P204),"ALIGNED","MISMATCH")),"CHECK")</f>
        <v>ALIGNED</v>
      </c>
    </row>
    <row r="205" customFormat="false" ht="19.5" hidden="false" customHeight="true" outlineLevel="0" collapsed="false">
      <c r="A205" s="29" t="s">
        <v>323</v>
      </c>
      <c r="B205" s="30" t="n">
        <f aca="false">IF(Raw_Data!B209="","",IF(ISTEXT(Raw_Data!B209),IFERROR(DATE(VALUE(RIGHT(TRIM(Raw_Data!B209),4)),VALUE(MID(TRIM(Raw_Data!B209),4,2)),VALUE(LEFT(TRIM(Raw_Data!B209),2))),"CHECK"),Raw_Data!B209))</f>
        <v>46194</v>
      </c>
      <c r="C205" s="31" t="str">
        <f aca="false">IFERROR(INDEX(Reference_Lists!$C$23:$C$35,MATCH(PROPER(TRIM(Raw_Data!C209)),Reference_Lists!$B$23:$B$35,0)),"UNMATCHED")</f>
        <v>Phone Hotline</v>
      </c>
      <c r="D205" s="31" t="str">
        <f aca="false">IFERROR(INDEX(Reference_Lists!$C$36:$C$50,MATCH(PROPER(TRIM(Raw_Data!D209)),Reference_Lists!$B$36:$B$50,0)),"UNMATCHED")</f>
        <v>Nuseirat</v>
      </c>
      <c r="E205" s="31" t="str">
        <f aca="false">IF(Raw_Data!E209="","",Raw_Data!E209)</f>
        <v>Shelter</v>
      </c>
      <c r="F205" s="31" t="str">
        <f aca="false">IF(Raw_Data!F209="","",Raw_Data!F209)</f>
        <v>Complaint</v>
      </c>
      <c r="G205" s="32" t="str">
        <f aca="false">IF(Raw_Data!G209="","",Raw_Data!G209)</f>
        <v>Non-Sensitive</v>
      </c>
      <c r="H205" s="32" t="str">
        <f aca="false">IFERROR(INDEX(Reference_Lists!$C$51:$C$57,MATCH(PROPER(TRIM(Raw_Data!H209)),Reference_Lists!$B$51:$B$57,0)),"UNMATCHED")</f>
        <v>Male</v>
      </c>
      <c r="I205" s="32" t="str">
        <f aca="false">IF(Raw_Data!I209="","",Raw_Data!I209)</f>
        <v>18-29</v>
      </c>
      <c r="J205" s="32" t="str">
        <f aca="false">IFERROR(INDEX(Reference_Lists!$C$58:$C$65,MATCH(PROPER(TRIM(Raw_Data!J209)),Reference_Lists!$B$58:$B$65,0)),"UNMATCHED")</f>
        <v>Closed</v>
      </c>
      <c r="K205" s="30" t="n">
        <f aca="false">IF(Raw_Data!K209="","",IF(ISTEXT(Raw_Data!K209),IFERROR(DATE(VALUE(RIGHT(TRIM(Raw_Data!K209),4)),VALUE(MID(TRIM(Raw_Data!K209),4,2)),VALUE(LEFT(TRIM(Raw_Data!K209),2))),"CHECK"),Raw_Data!K209))</f>
        <v>46202</v>
      </c>
      <c r="L205" s="33" t="str">
        <f aca="false">IF(Raw_Data!L209="","",Raw_Data!L209)</f>
        <v>Tarpaulin received is torn and does not cover the shelter area.</v>
      </c>
      <c r="M205" s="34" t="n">
        <f aca="false">IF(OR(B205="",K205=""),"",IFERROR(K205-B205,"CHECK"))</f>
        <v>8</v>
      </c>
      <c r="N205" s="34" t="n">
        <f aca="false">IFERROR(INDEX(Reference_Lists!$H$13:$H$14,MATCH(G205,Reference_Lists!$G$13:$G$14,0)),"UNMATCHED")</f>
        <v>15</v>
      </c>
      <c r="O205" s="35" t="b">
        <f aca="false">IF(AND(J205="Closed",ISNUMBER(M205),ISNUMBER(N205),M205&gt;=0),M205&lt;=N205,"NOT ASSESSED")</f>
        <v>1</v>
      </c>
      <c r="P205" s="36" t="str">
        <f aca="false">Raw_Data!A209</f>
        <v>CFM-2026-0368</v>
      </c>
      <c r="Q205" s="37" t="str">
        <f aca="false">IFERROR(IF(OR($A205="",$P205=""),"MISSING ID",IF(EXACT($A205,$P205),"ALIGNED","MISMATCH")),"CHECK")</f>
        <v>ALIGNED</v>
      </c>
    </row>
    <row r="206" customFormat="false" ht="19.5" hidden="false" customHeight="true" outlineLevel="0" collapsed="false">
      <c r="A206" s="29" t="s">
        <v>324</v>
      </c>
      <c r="B206" s="30" t="n">
        <f aca="false">IF(Raw_Data!B211="","",IF(ISTEXT(Raw_Data!B211),IFERROR(DATE(VALUE(RIGHT(TRIM(Raw_Data!B211),4)),VALUE(MID(TRIM(Raw_Data!B211),4,2)),VALUE(LEFT(TRIM(Raw_Data!B211),2))),"CHECK"),Raw_Data!B211))</f>
        <v>46165</v>
      </c>
      <c r="C206" s="31" t="str">
        <f aca="false">IFERROR(INDEX(Reference_Lists!$C$23:$C$35,MATCH(PROPER(TRIM(Raw_Data!C211)),Reference_Lists!$B$23:$B$35,0)),"UNMATCHED")</f>
        <v>In-Person at Distribution</v>
      </c>
      <c r="D206" s="31" t="str">
        <f aca="false">IFERROR(INDEX(Reference_Lists!$C$36:$C$50,MATCH(PROPER(TRIM(Raw_Data!D211)),Reference_Lists!$B$36:$B$50,0)),"UNMATCHED")</f>
        <v>Nuseirat</v>
      </c>
      <c r="E206" s="31" t="str">
        <f aca="false">IF(Raw_Data!E211="","",Raw_Data!E211)</f>
        <v>Health</v>
      </c>
      <c r="F206" s="31" t="str">
        <f aca="false">IF(Raw_Data!F211="","",Raw_Data!F211)</f>
        <v>Appreciation</v>
      </c>
      <c r="G206" s="32" t="str">
        <f aca="false">IF(Raw_Data!G211="","",Raw_Data!G211)</f>
        <v>Non-Sensitive</v>
      </c>
      <c r="H206" s="32" t="str">
        <f aca="false">IFERROR(INDEX(Reference_Lists!$C$51:$C$57,MATCH(PROPER(TRIM(Raw_Data!H211)),Reference_Lists!$B$51:$B$57,0)),"UNMATCHED")</f>
        <v>Female</v>
      </c>
      <c r="I206" s="32" t="str">
        <f aca="false">IF(Raw_Data!I211="","",Raw_Data!I211)</f>
        <v>45-59</v>
      </c>
      <c r="J206" s="32" t="str">
        <f aca="false">IFERROR(INDEX(Reference_Lists!$C$58:$C$65,MATCH(PROPER(TRIM(Raw_Data!J211)),Reference_Lists!$B$58:$B$65,0)),"UNMATCHED")</f>
        <v>In Progress</v>
      </c>
      <c r="K206" s="30" t="str">
        <f aca="false">IF(Raw_Data!K211="","",IF(ISTEXT(Raw_Data!K211),IFERROR(DATE(VALUE(RIGHT(TRIM(Raw_Data!K211),4)),VALUE(MID(TRIM(Raw_Data!K211),4,2)),VALUE(LEFT(TRIM(Raw_Data!K211),2))),"CHECK"),Raw_Data!K211))</f>
        <v/>
      </c>
      <c r="L206" s="33" t="str">
        <f aca="false">IF(Raw_Data!L211="","",Raw_Data!L211)</f>
        <v>Clinic opening hours are not clear to the community.</v>
      </c>
      <c r="M206" s="34" t="str">
        <f aca="false">IF(OR(B206="",K206=""),"",IFERROR(K206-B206,"CHECK"))</f>
        <v/>
      </c>
      <c r="N206" s="34" t="n">
        <f aca="false">IFERROR(INDEX(Reference_Lists!$H$13:$H$14,MATCH(G206,Reference_Lists!$G$13:$G$14,0)),"UNMATCHED")</f>
        <v>15</v>
      </c>
      <c r="O206" s="32" t="str">
        <f aca="false">IF(AND(J206="Closed",ISNUMBER(M206),ISNUMBER(N206),M206&gt;=0),M206&lt;=N206,"NOT ASSESSED")</f>
        <v>NOT ASSESSED</v>
      </c>
      <c r="P206" s="36" t="str">
        <f aca="false">Raw_Data!A211</f>
        <v>CFM-2026-0288</v>
      </c>
      <c r="Q206" s="37" t="str">
        <f aca="false">IFERROR(IF(OR($A206="",$P206=""),"MISSING ID",IF(EXACT($A206,$P206),"ALIGNED","MISMATCH")),"CHECK")</f>
        <v>ALIGNED</v>
      </c>
    </row>
    <row r="207" customFormat="false" ht="19.5" hidden="false" customHeight="true" outlineLevel="0" collapsed="false">
      <c r="A207" s="29" t="s">
        <v>325</v>
      </c>
      <c r="B207" s="30" t="n">
        <f aca="false">IF(Raw_Data!B212="","",IF(ISTEXT(Raw_Data!B212),IFERROR(DATE(VALUE(RIGHT(TRIM(Raw_Data!B212),4)),VALUE(MID(TRIM(Raw_Data!B212),4,2)),VALUE(LEFT(TRIM(Raw_Data!B212),2))),"CHECK"),Raw_Data!B212))</f>
        <v>46127</v>
      </c>
      <c r="C207" s="31" t="str">
        <f aca="false">IFERROR(INDEX(Reference_Lists!$C$23:$C$35,MATCH(PROPER(TRIM(Raw_Data!C212)),Reference_Lists!$B$23:$B$35,0)),"UNMATCHED")</f>
        <v>Community Focal Point</v>
      </c>
      <c r="D207" s="31" t="str">
        <f aca="false">IFERROR(INDEX(Reference_Lists!$C$36:$C$50,MATCH(PROPER(TRIM(Raw_Data!D212)),Reference_Lists!$B$36:$B$50,0)),"UNMATCHED")</f>
        <v>Jabalia</v>
      </c>
      <c r="E207" s="31" t="str">
        <f aca="false">IF(Raw_Data!E212="","",Raw_Data!E212)</f>
        <v>Food Security</v>
      </c>
      <c r="F207" s="31" t="str">
        <f aca="false">IF(Raw_Data!F212="","",Raw_Data!F212)</f>
        <v>Complaint</v>
      </c>
      <c r="G207" s="32" t="str">
        <f aca="false">IF(Raw_Data!G212="","",Raw_Data!G212)</f>
        <v>Non-Sensitive</v>
      </c>
      <c r="H207" s="32" t="str">
        <f aca="false">IFERROR(INDEX(Reference_Lists!$C$51:$C$57,MATCH(PROPER(TRIM(Raw_Data!H212)),Reference_Lists!$B$51:$B$57,0)),"UNMATCHED")</f>
        <v>Male</v>
      </c>
      <c r="I207" s="32" t="str">
        <f aca="false">IF(Raw_Data!I212="","",Raw_Data!I212)</f>
        <v>30-44</v>
      </c>
      <c r="J207" s="32" t="str">
        <f aca="false">IFERROR(INDEX(Reference_Lists!$C$58:$C$65,MATCH(PROPER(TRIM(Raw_Data!J212)),Reference_Lists!$B$58:$B$65,0)),"UNMATCHED")</f>
        <v>In Progress</v>
      </c>
      <c r="K207" s="30" t="str">
        <f aca="false">IF(Raw_Data!K212="","",IF(ISTEXT(Raw_Data!K212),IFERROR(DATE(VALUE(RIGHT(TRIM(Raw_Data!K212),4)),VALUE(MID(TRIM(Raw_Data!K212),4,2)),VALUE(LEFT(TRIM(Raw_Data!K212),2))),"CHECK"),Raw_Data!K212))</f>
        <v/>
      </c>
      <c r="L207" s="33" t="str">
        <f aca="false">IF(Raw_Data!L212="","",Raw_Data!L212)</f>
        <v>Asking how the beneficiary list for the next round is prepared.</v>
      </c>
      <c r="M207" s="34" t="str">
        <f aca="false">IF(OR(B207="",K207=""),"",IFERROR(K207-B207,"CHECK"))</f>
        <v/>
      </c>
      <c r="N207" s="34" t="n">
        <f aca="false">IFERROR(INDEX(Reference_Lists!$H$13:$H$14,MATCH(G207,Reference_Lists!$G$13:$G$14,0)),"UNMATCHED")</f>
        <v>15</v>
      </c>
      <c r="O207" s="32" t="str">
        <f aca="false">IF(AND(J207="Closed",ISNUMBER(M207),ISNUMBER(N207),M207&gt;=0),M207&lt;=N207,"NOT ASSESSED")</f>
        <v>NOT ASSESSED</v>
      </c>
      <c r="P207" s="36" t="str">
        <f aca="false">Raw_Data!A212</f>
        <v>CFM-2026-0295</v>
      </c>
      <c r="Q207" s="37" t="str">
        <f aca="false">IFERROR(IF(OR($A207="",$P207=""),"MISSING ID",IF(EXACT($A207,$P207),"ALIGNED","MISMATCH")),"CHECK")</f>
        <v>ALIGNED</v>
      </c>
    </row>
    <row r="208" customFormat="false" ht="19.5" hidden="false" customHeight="true" outlineLevel="0" collapsed="false">
      <c r="A208" s="29" t="s">
        <v>326</v>
      </c>
      <c r="B208" s="30" t="n">
        <f aca="false">IF(Raw_Data!B213="","",IF(ISTEXT(Raw_Data!B213),IFERROR(DATE(VALUE(RIGHT(TRIM(Raw_Data!B213),4)),VALUE(MID(TRIM(Raw_Data!B213),4,2)),VALUE(LEFT(TRIM(Raw_Data!B213),2))),"CHECK"),Raw_Data!B213))</f>
        <v>46065</v>
      </c>
      <c r="C208" s="31" t="str">
        <f aca="false">IFERROR(INDEX(Reference_Lists!$C$23:$C$35,MATCH(PROPER(TRIM(Raw_Data!C213)),Reference_Lists!$B$23:$B$35,0)),"UNMATCHED")</f>
        <v>Community Focal Point</v>
      </c>
      <c r="D208" s="31" t="str">
        <f aca="false">IFERROR(INDEX(Reference_Lists!$C$36:$C$50,MATCH(PROPER(TRIM(Raw_Data!D213)),Reference_Lists!$B$36:$B$50,0)),"UNMATCHED")</f>
        <v>Rafah</v>
      </c>
      <c r="E208" s="31" t="str">
        <f aca="false">IF(Raw_Data!E213="","",Raw_Data!E213)</f>
        <v>Health</v>
      </c>
      <c r="F208" s="31" t="str">
        <f aca="false">IF(Raw_Data!F213="","",Raw_Data!F213)</f>
        <v>Sensitive Complaint</v>
      </c>
      <c r="G208" s="32" t="str">
        <f aca="false">IF(Raw_Data!G213="","",Raw_Data!G213)</f>
        <v>Sensitive</v>
      </c>
      <c r="H208" s="32" t="str">
        <f aca="false">IFERROR(INDEX(Reference_Lists!$C$51:$C$57,MATCH(PROPER(TRIM(Raw_Data!H213)),Reference_Lists!$B$51:$B$57,0)),"UNMATCHED")</f>
        <v>Male</v>
      </c>
      <c r="I208" s="32" t="str">
        <f aca="false">IF(Raw_Data!I213="","",Raw_Data!I213)</f>
        <v>30-44</v>
      </c>
      <c r="J208" s="32" t="str">
        <f aca="false">IFERROR(INDEX(Reference_Lists!$C$58:$C$65,MATCH(PROPER(TRIM(Raw_Data!J213)),Reference_Lists!$B$58:$B$65,0)),"UNMATCHED")</f>
        <v>In Progress</v>
      </c>
      <c r="K208" s="30" t="str">
        <f aca="false">IF(Raw_Data!K213="","",IF(ISTEXT(Raw_Data!K213),IFERROR(DATE(VALUE(RIGHT(TRIM(Raw_Data!K213),4)),VALUE(MID(TRIM(Raw_Data!K213),4,2)),VALUE(LEFT(TRIM(Raw_Data!K213),2))),"CHECK"),Raw_Data!K213))</f>
        <v/>
      </c>
      <c r="L208" s="33" t="str">
        <f aca="false">IF(Raw_Data!L213="","",Raw_Data!L213)</f>
        <v>Sensitive case - details recorded separately by the focal point; not stored in this tracker.</v>
      </c>
      <c r="M208" s="34" t="str">
        <f aca="false">IF(OR(B208="",K208=""),"",IFERROR(K208-B208,"CHECK"))</f>
        <v/>
      </c>
      <c r="N208" s="34" t="n">
        <f aca="false">IFERROR(INDEX(Reference_Lists!$H$13:$H$14,MATCH(G208,Reference_Lists!$G$13:$G$14,0)),"UNMATCHED")</f>
        <v>3</v>
      </c>
      <c r="O208" s="32" t="str">
        <f aca="false">IF(AND(J208="Closed",ISNUMBER(M208),ISNUMBER(N208),M208&gt;=0),M208&lt;=N208,"NOT ASSESSED")</f>
        <v>NOT ASSESSED</v>
      </c>
      <c r="P208" s="36" t="str">
        <f aca="false">Raw_Data!A213</f>
        <v>CFM-2026-0008</v>
      </c>
      <c r="Q208" s="37" t="str">
        <f aca="false">IFERROR(IF(OR($A208="",$P208=""),"MISSING ID",IF(EXACT($A208,$P208),"ALIGNED","MISMATCH")),"CHECK")</f>
        <v>ALIGNED</v>
      </c>
    </row>
    <row r="209" customFormat="false" ht="19.5" hidden="false" customHeight="true" outlineLevel="0" collapsed="false">
      <c r="A209" s="29" t="s">
        <v>327</v>
      </c>
      <c r="B209" s="30" t="n">
        <f aca="false">IF(Raw_Data!B214="","",IF(ISTEXT(Raw_Data!B214),IFERROR(DATE(VALUE(RIGHT(TRIM(Raw_Data!B214),4)),VALUE(MID(TRIM(Raw_Data!B214),4,2)),VALUE(LEFT(TRIM(Raw_Data!B214),2))),"CHECK"),Raw_Data!B214))</f>
        <v>46040</v>
      </c>
      <c r="C209" s="31" t="str">
        <f aca="false">IFERROR(INDEX(Reference_Lists!$C$23:$C$35,MATCH(PROPER(TRIM(Raw_Data!C214)),Reference_Lists!$B$23:$B$35,0)),"UNMATCHED")</f>
        <v>Suggestion Box</v>
      </c>
      <c r="D209" s="31" t="str">
        <f aca="false">IFERROR(INDEX(Reference_Lists!$C$36:$C$50,MATCH(PROPER(TRIM(Raw_Data!D214)),Reference_Lists!$B$36:$B$50,0)),"UNMATCHED")</f>
        <v>Gaza City</v>
      </c>
      <c r="E209" s="31" t="str">
        <f aca="false">IF(Raw_Data!E214="","",Raw_Data!E214)</f>
        <v>WASH</v>
      </c>
      <c r="F209" s="31" t="str">
        <f aca="false">IF(Raw_Data!F214="","",Raw_Data!F214)</f>
        <v>Complaint</v>
      </c>
      <c r="G209" s="32" t="str">
        <f aca="false">IF(Raw_Data!G214="","",Raw_Data!G214)</f>
        <v>Non-Sensitive</v>
      </c>
      <c r="H209" s="32" t="str">
        <f aca="false">IFERROR(INDEX(Reference_Lists!$C$51:$C$57,MATCH(PROPER(TRIM(Raw_Data!H214)),Reference_Lists!$B$51:$B$57,0)),"UNMATCHED")</f>
        <v>Female</v>
      </c>
      <c r="I209" s="32" t="str">
        <f aca="false">IF(Raw_Data!I214="","",Raw_Data!I214)</f>
        <v>45-59</v>
      </c>
      <c r="J209" s="32" t="str">
        <f aca="false">IFERROR(INDEX(Reference_Lists!$C$58:$C$65,MATCH(PROPER(TRIM(Raw_Data!J214)),Reference_Lists!$B$58:$B$65,0)),"UNMATCHED")</f>
        <v>Closed</v>
      </c>
      <c r="K209" s="30" t="n">
        <f aca="false">IF(Raw_Data!K214="","",IF(ISTEXT(Raw_Data!K214),IFERROR(DATE(VALUE(RIGHT(TRIM(Raw_Data!K214),4)),VALUE(MID(TRIM(Raw_Data!K214),4,2)),VALUE(LEFT(TRIM(Raw_Data!K214),2))),"CHECK"),Raw_Data!K214))</f>
        <v>46051</v>
      </c>
      <c r="L209" s="33" t="str">
        <f aca="false">IF(Raw_Data!L214="","",Raw_Data!L214)</f>
        <v>Latrine at the site block needs cleaning and lighting at night.</v>
      </c>
      <c r="M209" s="34" t="n">
        <f aca="false">IF(OR(B209="",K209=""),"",IFERROR(K209-B209,"CHECK"))</f>
        <v>11</v>
      </c>
      <c r="N209" s="34" t="n">
        <f aca="false">IFERROR(INDEX(Reference_Lists!$H$13:$H$14,MATCH(G209,Reference_Lists!$G$13:$G$14,0)),"UNMATCHED")</f>
        <v>15</v>
      </c>
      <c r="O209" s="35" t="b">
        <f aca="false">IF(AND(J209="Closed",ISNUMBER(M209),ISNUMBER(N209),M209&gt;=0),M209&lt;=N209,"NOT ASSESSED")</f>
        <v>1</v>
      </c>
      <c r="P209" s="36" t="str">
        <f aca="false">Raw_Data!A214</f>
        <v>CFM-2026-0107</v>
      </c>
      <c r="Q209" s="37" t="str">
        <f aca="false">IFERROR(IF(OR($A209="",$P209=""),"MISSING ID",IF(EXACT($A209,$P209),"ALIGNED","MISMATCH")),"CHECK")</f>
        <v>ALIGNED</v>
      </c>
    </row>
    <row r="210" customFormat="false" ht="19.5" hidden="false" customHeight="true" outlineLevel="0" collapsed="false">
      <c r="A210" s="29" t="s">
        <v>328</v>
      </c>
      <c r="B210" s="30" t="n">
        <f aca="false">IF(Raw_Data!B215="","",IF(ISTEXT(Raw_Data!B215),IFERROR(DATE(VALUE(RIGHT(TRIM(Raw_Data!B215),4)),VALUE(MID(TRIM(Raw_Data!B215),4,2)),VALUE(LEFT(TRIM(Raw_Data!B215),2))),"CHECK"),Raw_Data!B215))</f>
        <v>46117</v>
      </c>
      <c r="C210" s="31" t="str">
        <f aca="false">IFERROR(INDEX(Reference_Lists!$C$23:$C$35,MATCH(PROPER(TRIM(Raw_Data!C215)),Reference_Lists!$B$23:$B$35,0)),"UNMATCHED")</f>
        <v>In-Person at Distribution</v>
      </c>
      <c r="D210" s="31" t="str">
        <f aca="false">IFERROR(INDEX(Reference_Lists!$C$36:$C$50,MATCH(PROPER(TRIM(Raw_Data!D215)),Reference_Lists!$B$36:$B$50,0)),"UNMATCHED")</f>
        <v>Rafah</v>
      </c>
      <c r="E210" s="31" t="str">
        <f aca="false">IF(Raw_Data!E215="","",Raw_Data!E215)</f>
        <v>Shelter</v>
      </c>
      <c r="F210" s="31" t="str">
        <f aca="false">IF(Raw_Data!F215="","",Raw_Data!F215)</f>
        <v>Request for Information</v>
      </c>
      <c r="G210" s="32" t="str">
        <f aca="false">IF(Raw_Data!G215="","",Raw_Data!G215)</f>
        <v>Non-Sensitive</v>
      </c>
      <c r="H210" s="32" t="str">
        <f aca="false">IFERROR(INDEX(Reference_Lists!$C$51:$C$57,MATCH(PROPER(TRIM(Raw_Data!H215)),Reference_Lists!$B$51:$B$57,0)),"UNMATCHED")</f>
        <v>Male</v>
      </c>
      <c r="I210" s="32" t="str">
        <f aca="false">IF(Raw_Data!I215="","",Raw_Data!I215)</f>
        <v>45-59</v>
      </c>
      <c r="J210" s="32" t="str">
        <f aca="false">IFERROR(INDEX(Reference_Lists!$C$58:$C$65,MATCH(PROPER(TRIM(Raw_Data!J215)),Reference_Lists!$B$58:$B$65,0)),"UNMATCHED")</f>
        <v>Closed</v>
      </c>
      <c r="K210" s="30" t="n">
        <f aca="false">IF(Raw_Data!K215="","",IF(ISTEXT(Raw_Data!K215),IFERROR(DATE(VALUE(RIGHT(TRIM(Raw_Data!K215),4)),VALUE(MID(TRIM(Raw_Data!K215),4,2)),VALUE(LEFT(TRIM(Raw_Data!K215),2))),"CHECK"),Raw_Data!K215))</f>
        <v>46141</v>
      </c>
      <c r="L210" s="33" t="str">
        <f aca="false">IF(Raw_Data!L215="","",Raw_Data!L215)</f>
        <v>Shelter kit delivered on time and the team explained the use clearly.</v>
      </c>
      <c r="M210" s="34" t="n">
        <f aca="false">IF(OR(B210="",K210=""),"",IFERROR(K210-B210,"CHECK"))</f>
        <v>24</v>
      </c>
      <c r="N210" s="34" t="n">
        <f aca="false">IFERROR(INDEX(Reference_Lists!$H$13:$H$14,MATCH(G210,Reference_Lists!$G$13:$G$14,0)),"UNMATCHED")</f>
        <v>15</v>
      </c>
      <c r="O210" s="35" t="b">
        <f aca="false">IF(AND(J210="Closed",ISNUMBER(M210),ISNUMBER(N210),M210&gt;=0),M210&lt;=N210,"NOT ASSESSED")</f>
        <v>0</v>
      </c>
      <c r="P210" s="36" t="str">
        <f aca="false">Raw_Data!A215</f>
        <v>CFM-2026-0307</v>
      </c>
      <c r="Q210" s="37" t="str">
        <f aca="false">IFERROR(IF(OR($A210="",$P210=""),"MISSING ID",IF(EXACT($A210,$P210),"ALIGNED","MISMATCH")),"CHECK")</f>
        <v>ALIGNED</v>
      </c>
    </row>
    <row r="211" customFormat="false" ht="19.5" hidden="false" customHeight="true" outlineLevel="0" collapsed="false">
      <c r="A211" s="29" t="s">
        <v>329</v>
      </c>
      <c r="B211" s="30" t="n">
        <f aca="false">IF(Raw_Data!B217="","",IF(ISTEXT(Raw_Data!B217),IFERROR(DATE(VALUE(RIGHT(TRIM(Raw_Data!B217),4)),VALUE(MID(TRIM(Raw_Data!B217),4,2)),VALUE(LEFT(TRIM(Raw_Data!B217),2))),"CHECK"),Raw_Data!B217))</f>
        <v>46150</v>
      </c>
      <c r="C211" s="31" t="str">
        <f aca="false">IFERROR(INDEX(Reference_Lists!$C$23:$C$35,MATCH(PROPER(TRIM(Raw_Data!C217)),Reference_Lists!$B$23:$B$35,0)),"UNMATCHED")</f>
        <v>Phone Hotline</v>
      </c>
      <c r="D211" s="31" t="str">
        <f aca="false">IFERROR(INDEX(Reference_Lists!$C$36:$C$50,MATCH(PROPER(TRIM(Raw_Data!D217)),Reference_Lists!$B$36:$B$50,0)),"UNMATCHED")</f>
        <v>Gaza City</v>
      </c>
      <c r="E211" s="31" t="str">
        <f aca="false">IF(Raw_Data!E217="","",Raw_Data!E217)</f>
        <v>Nutrition</v>
      </c>
      <c r="F211" s="31" t="str">
        <f aca="false">IF(Raw_Data!F217="","",Raw_Data!F217)</f>
        <v>Request for Information</v>
      </c>
      <c r="G211" s="32" t="str">
        <f aca="false">IF(Raw_Data!G217="","",Raw_Data!G217)</f>
        <v>Non-Sensitive</v>
      </c>
      <c r="H211" s="32" t="str">
        <f aca="false">IFERROR(INDEX(Reference_Lists!$C$51:$C$57,MATCH(PROPER(TRIM(Raw_Data!H217)),Reference_Lists!$B$51:$B$57,0)),"UNMATCHED")</f>
        <v>Female</v>
      </c>
      <c r="I211" s="32" t="str">
        <f aca="false">IF(Raw_Data!I217="","",Raw_Data!I217)</f>
        <v/>
      </c>
      <c r="J211" s="32" t="str">
        <f aca="false">IFERROR(INDEX(Reference_Lists!$C$58:$C$65,MATCH(PROPER(TRIM(Raw_Data!J217)),Reference_Lists!$B$58:$B$65,0)),"UNMATCHED")</f>
        <v>Referred</v>
      </c>
      <c r="K211" s="30" t="str">
        <f aca="false">IF(Raw_Data!K217="","",IF(ISTEXT(Raw_Data!K217),IFERROR(DATE(VALUE(RIGHT(TRIM(Raw_Data!K217),4)),VALUE(MID(TRIM(Raw_Data!K217),4,2)),VALUE(LEFT(TRIM(Raw_Data!K217),2))),"CHECK"),Raw_Data!K217))</f>
        <v/>
      </c>
      <c r="L211" s="33" t="str">
        <f aca="false">IF(Raw_Data!L217="","",Raw_Data!L217)</f>
        <v>Requesting a screening session closer to the northern shelter.</v>
      </c>
      <c r="M211" s="34" t="str">
        <f aca="false">IF(OR(B211="",K211=""),"",IFERROR(K211-B211,"CHECK"))</f>
        <v/>
      </c>
      <c r="N211" s="34" t="n">
        <f aca="false">IFERROR(INDEX(Reference_Lists!$H$13:$H$14,MATCH(G211,Reference_Lists!$G$13:$G$14,0)),"UNMATCHED")</f>
        <v>15</v>
      </c>
      <c r="O211" s="32" t="str">
        <f aca="false">IF(AND(J211="Closed",ISNUMBER(M211),ISNUMBER(N211),M211&gt;=0),M211&lt;=N211,"NOT ASSESSED")</f>
        <v>NOT ASSESSED</v>
      </c>
      <c r="P211" s="36" t="str">
        <f aca="false">Raw_Data!A217</f>
        <v>CFM-2026-0451</v>
      </c>
      <c r="Q211" s="37" t="str">
        <f aca="false">IFERROR(IF(OR($A211="",$P211=""),"MISSING ID",IF(EXACT($A211,$P211),"ALIGNED","MISMATCH")),"CHECK")</f>
        <v>ALIGNED</v>
      </c>
    </row>
    <row r="212" customFormat="false" ht="19.5" hidden="false" customHeight="true" outlineLevel="0" collapsed="false">
      <c r="A212" s="29" t="s">
        <v>330</v>
      </c>
      <c r="B212" s="30" t="n">
        <f aca="false">IF(Raw_Data!B218="","",IF(ISTEXT(Raw_Data!B218),IFERROR(DATE(VALUE(RIGHT(TRIM(Raw_Data!B218),4)),VALUE(MID(TRIM(Raw_Data!B218),4,2)),VALUE(LEFT(TRIM(Raw_Data!B218),2))),"CHECK"),Raw_Data!B218))</f>
        <v>46104</v>
      </c>
      <c r="C212" s="31" t="str">
        <f aca="false">IFERROR(INDEX(Reference_Lists!$C$23:$C$35,MATCH(PROPER(TRIM(Raw_Data!C218)),Reference_Lists!$B$23:$B$35,0)),"UNMATCHED")</f>
        <v>Phone Hotline</v>
      </c>
      <c r="D212" s="31" t="str">
        <f aca="false">IFERROR(INDEX(Reference_Lists!$C$36:$C$50,MATCH(PROPER(TRIM(Raw_Data!D218)),Reference_Lists!$B$36:$B$50,0)),"UNMATCHED")</f>
        <v>Gaza City</v>
      </c>
      <c r="E212" s="31" t="str">
        <f aca="false">IF(Raw_Data!E218="","",Raw_Data!E218)</f>
        <v>Nutrition</v>
      </c>
      <c r="F212" s="31" t="str">
        <f aca="false">IF(Raw_Data!F218="","",Raw_Data!F218)</f>
        <v>Request for Information</v>
      </c>
      <c r="G212" s="32" t="str">
        <f aca="false">IF(Raw_Data!G218="","",Raw_Data!G218)</f>
        <v>Non-Sensitive</v>
      </c>
      <c r="H212" s="32" t="str">
        <f aca="false">IFERROR(INDEX(Reference_Lists!$C$51:$C$57,MATCH(PROPER(TRIM(Raw_Data!H218)),Reference_Lists!$B$51:$B$57,0)),"UNMATCHED")</f>
        <v>Male</v>
      </c>
      <c r="I212" s="32" t="str">
        <f aca="false">IF(Raw_Data!I218="","",Raw_Data!I218)</f>
        <v>18-29</v>
      </c>
      <c r="J212" s="32" t="str">
        <f aca="false">IFERROR(INDEX(Reference_Lists!$C$58:$C$65,MATCH(PROPER(TRIM(Raw_Data!J218)),Reference_Lists!$B$58:$B$65,0)),"UNMATCHED")</f>
        <v>Closed</v>
      </c>
      <c r="K212" s="30" t="n">
        <f aca="false">IF(Raw_Data!K218="","",IF(ISTEXT(Raw_Data!K218),IFERROR(DATE(VALUE(RIGHT(TRIM(Raw_Data!K218),4)),VALUE(MID(TRIM(Raw_Data!K218),4,2)),VALUE(LEFT(TRIM(Raw_Data!K218),2))),"CHECK"),Raw_Data!K218))</f>
        <v>46106</v>
      </c>
      <c r="L212" s="33" t="str">
        <f aca="false">IF(Raw_Data!L218="","",Raw_Data!L218)</f>
        <v>Supplement was received but the guidance sheet was in English only.</v>
      </c>
      <c r="M212" s="34" t="n">
        <f aca="false">IF(OR(B212="",K212=""),"",IFERROR(K212-B212,"CHECK"))</f>
        <v>2</v>
      </c>
      <c r="N212" s="34" t="n">
        <f aca="false">IFERROR(INDEX(Reference_Lists!$H$13:$H$14,MATCH(G212,Reference_Lists!$G$13:$G$14,0)),"UNMATCHED")</f>
        <v>15</v>
      </c>
      <c r="O212" s="35" t="b">
        <f aca="false">IF(AND(J212="Closed",ISNUMBER(M212),ISNUMBER(N212),M212&gt;=0),M212&lt;=N212,"NOT ASSESSED")</f>
        <v>1</v>
      </c>
      <c r="P212" s="36" t="str">
        <f aca="false">Raw_Data!A218</f>
        <v>CFM-2026-0269</v>
      </c>
      <c r="Q212" s="37" t="str">
        <f aca="false">IFERROR(IF(OR($A212="",$P212=""),"MISSING ID",IF(EXACT($A212,$P212),"ALIGNED","MISMATCH")),"CHECK")</f>
        <v>ALIGNED</v>
      </c>
    </row>
    <row r="213" customFormat="false" ht="19.5" hidden="false" customHeight="true" outlineLevel="0" collapsed="false">
      <c r="A213" s="29" t="s">
        <v>331</v>
      </c>
      <c r="B213" s="30" t="n">
        <f aca="false">IF(Raw_Data!B219="","",IF(ISTEXT(Raw_Data!B219),IFERROR(DATE(VALUE(RIGHT(TRIM(Raw_Data!B219),4)),VALUE(MID(TRIM(Raw_Data!B219),4,2)),VALUE(LEFT(TRIM(Raw_Data!B219),2))),"CHECK"),Raw_Data!B219))</f>
        <v>46179</v>
      </c>
      <c r="C213" s="31" t="str">
        <f aca="false">IFERROR(INDEX(Reference_Lists!$C$23:$C$35,MATCH(PROPER(TRIM(Raw_Data!C219)),Reference_Lists!$B$23:$B$35,0)),"UNMATCHED")</f>
        <v>Phone Hotline</v>
      </c>
      <c r="D213" s="31" t="str">
        <f aca="false">IFERROR(INDEX(Reference_Lists!$C$36:$C$50,MATCH(PROPER(TRIM(Raw_Data!D219)),Reference_Lists!$B$36:$B$50,0)),"UNMATCHED")</f>
        <v>Nuseirat</v>
      </c>
      <c r="E213" s="31" t="str">
        <f aca="false">IF(Raw_Data!E219="","",Raw_Data!E219)</f>
        <v>Shelter</v>
      </c>
      <c r="F213" s="31" t="str">
        <f aca="false">IF(Raw_Data!F219="","",Raw_Data!F219)</f>
        <v>Complaint</v>
      </c>
      <c r="G213" s="32" t="str">
        <f aca="false">IF(Raw_Data!G219="","",Raw_Data!G219)</f>
        <v>Non-Sensitive</v>
      </c>
      <c r="H213" s="32" t="str">
        <f aca="false">IFERROR(INDEX(Reference_Lists!$C$51:$C$57,MATCH(PROPER(TRIM(Raw_Data!H219)),Reference_Lists!$B$51:$B$57,0)),"UNMATCHED")</f>
        <v>Female</v>
      </c>
      <c r="I213" s="32" t="str">
        <f aca="false">IF(Raw_Data!I219="","",Raw_Data!I219)</f>
        <v>18-29</v>
      </c>
      <c r="J213" s="32" t="str">
        <f aca="false">IFERROR(INDEX(Reference_Lists!$C$58:$C$65,MATCH(PROPER(TRIM(Raw_Data!J219)),Reference_Lists!$B$58:$B$65,0)),"UNMATCHED")</f>
        <v>Closed</v>
      </c>
      <c r="K213" s="30" t="n">
        <f aca="false">IF(Raw_Data!K219="","",IF(ISTEXT(Raw_Data!K219),IFERROR(DATE(VALUE(RIGHT(TRIM(Raw_Data!K219),4)),VALUE(MID(TRIM(Raw_Data!K219),4,2)),VALUE(LEFT(TRIM(Raw_Data!K219),2))),"CHECK"),Raw_Data!K219))</f>
        <v>46198</v>
      </c>
      <c r="L213" s="33" t="str">
        <f aca="false">IF(Raw_Data!L219="","",Raw_Data!L219)</f>
        <v>Shelter kit delivered on time and the team explained the use clearly.</v>
      </c>
      <c r="M213" s="34" t="n">
        <f aca="false">IF(OR(B213="",K213=""),"",IFERROR(K213-B213,"CHECK"))</f>
        <v>19</v>
      </c>
      <c r="N213" s="34" t="n">
        <f aca="false">IFERROR(INDEX(Reference_Lists!$H$13:$H$14,MATCH(G213,Reference_Lists!$G$13:$G$14,0)),"UNMATCHED")</f>
        <v>15</v>
      </c>
      <c r="O213" s="35" t="b">
        <f aca="false">IF(AND(J213="Closed",ISNUMBER(M213),ISNUMBER(N213),M213&gt;=0),M213&lt;=N213,"NOT ASSESSED")</f>
        <v>0</v>
      </c>
      <c r="P213" s="36" t="str">
        <f aca="false">Raw_Data!A219</f>
        <v>CFM-2026-0139</v>
      </c>
      <c r="Q213" s="37" t="str">
        <f aca="false">IFERROR(IF(OR($A213="",$P213=""),"MISSING ID",IF(EXACT($A213,$P213),"ALIGNED","MISMATCH")),"CHECK")</f>
        <v>ALIGNED</v>
      </c>
    </row>
    <row r="214" customFormat="false" ht="19.5" hidden="false" customHeight="true" outlineLevel="0" collapsed="false">
      <c r="A214" s="29" t="s">
        <v>332</v>
      </c>
      <c r="B214" s="30" t="n">
        <f aca="false">IF(Raw_Data!B220="","",IF(ISTEXT(Raw_Data!B220),IFERROR(DATE(VALUE(RIGHT(TRIM(Raw_Data!B220),4)),VALUE(MID(TRIM(Raw_Data!B220),4,2)),VALUE(LEFT(TRIM(Raw_Data!B220),2))),"CHECK"),Raw_Data!B220))</f>
        <v>46185</v>
      </c>
      <c r="C214" s="31" t="str">
        <f aca="false">IFERROR(INDEX(Reference_Lists!$C$23:$C$35,MATCH(PROPER(TRIM(Raw_Data!C220)),Reference_Lists!$B$23:$B$35,0)),"UNMATCHED")</f>
        <v>Suggestion Box</v>
      </c>
      <c r="D214" s="31" t="str">
        <f aca="false">IFERROR(INDEX(Reference_Lists!$C$36:$C$50,MATCH(PROPER(TRIM(Raw_Data!D220)),Reference_Lists!$B$36:$B$50,0)),"UNMATCHED")</f>
        <v>Deir al-Balah</v>
      </c>
      <c r="E214" s="31" t="str">
        <f aca="false">IF(Raw_Data!E220="","",Raw_Data!E220)</f>
        <v>Nutrition</v>
      </c>
      <c r="F214" s="31" t="str">
        <f aca="false">IF(Raw_Data!F220="","",Raw_Data!F220)</f>
        <v>Request for Information</v>
      </c>
      <c r="G214" s="32" t="str">
        <f aca="false">IF(Raw_Data!G220="","",Raw_Data!G220)</f>
        <v>Non-Sensitive</v>
      </c>
      <c r="H214" s="32" t="str">
        <f aca="false">IFERROR(INDEX(Reference_Lists!$C$51:$C$57,MATCH(PROPER(TRIM(Raw_Data!H220)),Reference_Lists!$B$51:$B$57,0)),"UNMATCHED")</f>
        <v>Female</v>
      </c>
      <c r="I214" s="32" t="str">
        <f aca="false">IF(Raw_Data!I220="","",Raw_Data!I220)</f>
        <v>Under 18</v>
      </c>
      <c r="J214" s="32" t="str">
        <f aca="false">IFERROR(INDEX(Reference_Lists!$C$58:$C$65,MATCH(PROPER(TRIM(Raw_Data!J220)),Reference_Lists!$B$58:$B$65,0)),"UNMATCHED")</f>
        <v>Closed</v>
      </c>
      <c r="K214" s="30" t="n">
        <f aca="false">IF(Raw_Data!K220="","",IF(ISTEXT(Raw_Data!K220),IFERROR(DATE(VALUE(RIGHT(TRIM(Raw_Data!K220),4)),VALUE(MID(TRIM(Raw_Data!K220),4,2)),VALUE(LEFT(TRIM(Raw_Data!K220),2))),"CHECK"),Raw_Data!K220))</f>
        <v>46204</v>
      </c>
      <c r="L214" s="33" t="str">
        <f aca="false">IF(Raw_Data!L220="","",Raw_Data!L220)</f>
        <v>Asking whether children above five are included in the screening.</v>
      </c>
      <c r="M214" s="34" t="n">
        <f aca="false">IF(OR(B214="",K214=""),"",IFERROR(K214-B214,"CHECK"))</f>
        <v>19</v>
      </c>
      <c r="N214" s="34" t="n">
        <f aca="false">IFERROR(INDEX(Reference_Lists!$H$13:$H$14,MATCH(G214,Reference_Lists!$G$13:$G$14,0)),"UNMATCHED")</f>
        <v>15</v>
      </c>
      <c r="O214" s="35" t="b">
        <f aca="false">IF(AND(J214="Closed",ISNUMBER(M214),ISNUMBER(N214),M214&gt;=0),M214&lt;=N214,"NOT ASSESSED")</f>
        <v>0</v>
      </c>
      <c r="P214" s="36" t="str">
        <f aca="false">Raw_Data!A220</f>
        <v>CFM-2026-0297</v>
      </c>
      <c r="Q214" s="37" t="str">
        <f aca="false">IFERROR(IF(OR($A214="",$P214=""),"MISSING ID",IF(EXACT($A214,$P214),"ALIGNED","MISMATCH")),"CHECK")</f>
        <v>ALIGNED</v>
      </c>
    </row>
    <row r="215" customFormat="false" ht="19.5" hidden="false" customHeight="true" outlineLevel="0" collapsed="false">
      <c r="A215" s="29" t="s">
        <v>333</v>
      </c>
      <c r="B215" s="30" t="n">
        <f aca="false">IF(Raw_Data!B221="","",IF(ISTEXT(Raw_Data!B221),IFERROR(DATE(VALUE(RIGHT(TRIM(Raw_Data!B221),4)),VALUE(MID(TRIM(Raw_Data!B221),4,2)),VALUE(LEFT(TRIM(Raw_Data!B221),2))),"CHECK"),Raw_Data!B221))</f>
        <v>46181</v>
      </c>
      <c r="C215" s="31" t="str">
        <f aca="false">IFERROR(INDEX(Reference_Lists!$C$23:$C$35,MATCH(PROPER(TRIM(Raw_Data!C221)),Reference_Lists!$B$23:$B$35,0)),"UNMATCHED")</f>
        <v>Community Focal Point</v>
      </c>
      <c r="D215" s="31" t="str">
        <f aca="false">IFERROR(INDEX(Reference_Lists!$C$36:$C$50,MATCH(PROPER(TRIM(Raw_Data!D221)),Reference_Lists!$B$36:$B$50,0)),"UNMATCHED")</f>
        <v>Deir al-Balah</v>
      </c>
      <c r="E215" s="31" t="str">
        <f aca="false">IF(Raw_Data!E221="","",Raw_Data!E221)</f>
        <v>Shelter</v>
      </c>
      <c r="F215" s="31" t="str">
        <f aca="false">IF(Raw_Data!F221="","",Raw_Data!F221)</f>
        <v>Request for Information</v>
      </c>
      <c r="G215" s="32" t="str">
        <f aca="false">IF(Raw_Data!G221="","",Raw_Data!G221)</f>
        <v>Non-Sensitive</v>
      </c>
      <c r="H215" s="32" t="str">
        <f aca="false">IFERROR(INDEX(Reference_Lists!$C$51:$C$57,MATCH(PROPER(TRIM(Raw_Data!H221)),Reference_Lists!$B$51:$B$57,0)),"UNMATCHED")</f>
        <v>Female</v>
      </c>
      <c r="I215" s="32" t="str">
        <f aca="false">IF(Raw_Data!I221="","",Raw_Data!I221)</f>
        <v>18-29</v>
      </c>
      <c r="J215" s="32" t="str">
        <f aca="false">IFERROR(INDEX(Reference_Lists!$C$58:$C$65,MATCH(PROPER(TRIM(Raw_Data!J221)),Reference_Lists!$B$58:$B$65,0)),"UNMATCHED")</f>
        <v>Closed</v>
      </c>
      <c r="K215" s="30" t="n">
        <f aca="false">IF(Raw_Data!K221="","",IF(ISTEXT(Raw_Data!K221),IFERROR(DATE(VALUE(RIGHT(TRIM(Raw_Data!K221),4)),VALUE(MID(TRIM(Raw_Data!K221),4,2)),VALUE(LEFT(TRIM(Raw_Data!K221),2))),"CHECK"),Raw_Data!K221))</f>
        <v>46204</v>
      </c>
      <c r="L215" s="33" t="str">
        <f aca="false">IF(Raw_Data!L221="","",Raw_Data!L221)</f>
        <v>Tarpaulin received is torn and does not cover the shelter area.</v>
      </c>
      <c r="M215" s="34" t="n">
        <f aca="false">IF(OR(B215="",K215=""),"",IFERROR(K215-B215,"CHECK"))</f>
        <v>23</v>
      </c>
      <c r="N215" s="34" t="n">
        <f aca="false">IFERROR(INDEX(Reference_Lists!$H$13:$H$14,MATCH(G215,Reference_Lists!$G$13:$G$14,0)),"UNMATCHED")</f>
        <v>15</v>
      </c>
      <c r="O215" s="35" t="b">
        <f aca="false">IF(AND(J215="Closed",ISNUMBER(M215),ISNUMBER(N215),M215&gt;=0),M215&lt;=N215,"NOT ASSESSED")</f>
        <v>0</v>
      </c>
      <c r="P215" s="36" t="str">
        <f aca="false">Raw_Data!A221</f>
        <v>CFM-2026-0374</v>
      </c>
      <c r="Q215" s="37" t="str">
        <f aca="false">IFERROR(IF(OR($A215="",$P215=""),"MISSING ID",IF(EXACT($A215,$P215),"ALIGNED","MISMATCH")),"CHECK")</f>
        <v>ALIGNED</v>
      </c>
    </row>
    <row r="216" customFormat="false" ht="19.5" hidden="false" customHeight="true" outlineLevel="0" collapsed="false">
      <c r="A216" s="29" t="s">
        <v>334</v>
      </c>
      <c r="B216" s="30" t="n">
        <f aca="false">IF(Raw_Data!B222="","",IF(ISTEXT(Raw_Data!B222),IFERROR(DATE(VALUE(RIGHT(TRIM(Raw_Data!B222),4)),VALUE(MID(TRIM(Raw_Data!B222),4,2)),VALUE(LEFT(TRIM(Raw_Data!B222),2))),"CHECK"),Raw_Data!B222))</f>
        <v>46066</v>
      </c>
      <c r="C216" s="31" t="str">
        <f aca="false">IFERROR(INDEX(Reference_Lists!$C$23:$C$35,MATCH(PROPER(TRIM(Raw_Data!C222)),Reference_Lists!$B$23:$B$35,0)),"UNMATCHED")</f>
        <v>Help Desk</v>
      </c>
      <c r="D216" s="31" t="str">
        <f aca="false">IFERROR(INDEX(Reference_Lists!$C$36:$C$50,MATCH(PROPER(TRIM(Raw_Data!D222)),Reference_Lists!$B$36:$B$50,0)),"UNMATCHED")</f>
        <v>Gaza City</v>
      </c>
      <c r="E216" s="31" t="str">
        <f aca="false">IF(Raw_Data!E222="","",Raw_Data!E222)</f>
        <v>Shelter</v>
      </c>
      <c r="F216" s="31" t="str">
        <f aca="false">IF(Raw_Data!F222="","",Raw_Data!F222)</f>
        <v>Request for Information</v>
      </c>
      <c r="G216" s="32" t="str">
        <f aca="false">IF(Raw_Data!G222="","",Raw_Data!G222)</f>
        <v>Non-Sensitive</v>
      </c>
      <c r="H216" s="32" t="str">
        <f aca="false">IFERROR(INDEX(Reference_Lists!$C$51:$C$57,MATCH(PROPER(TRIM(Raw_Data!H222)),Reference_Lists!$B$51:$B$57,0)),"UNMATCHED")</f>
        <v>Male</v>
      </c>
      <c r="I216" s="32" t="str">
        <f aca="false">IF(Raw_Data!I222="","",Raw_Data!I222)</f>
        <v>30-44</v>
      </c>
      <c r="J216" s="32" t="str">
        <f aca="false">IFERROR(INDEX(Reference_Lists!$C$58:$C$65,MATCH(PROPER(TRIM(Raw_Data!J222)),Reference_Lists!$B$58:$B$65,0)),"UNMATCHED")</f>
        <v>Closed</v>
      </c>
      <c r="K216" s="30" t="n">
        <f aca="false">IF(Raw_Data!K222="","",IF(ISTEXT(Raw_Data!K222),IFERROR(DATE(VALUE(RIGHT(TRIM(Raw_Data!K222),4)),VALUE(MID(TRIM(Raw_Data!K222),4,2)),VALUE(LEFT(TRIM(Raw_Data!K222),2))),"CHECK"),Raw_Data!K222))</f>
        <v>46062</v>
      </c>
      <c r="L216" s="33" t="str">
        <f aca="false">IF(Raw_Data!L222="","",Raw_Data!L222)</f>
        <v>Shelter kit delivered on time and the team explained the use clearly.</v>
      </c>
      <c r="M216" s="34" t="n">
        <f aca="false">IF(OR(B216="",K216=""),"",IFERROR(K216-B216,"CHECK"))</f>
        <v>-4</v>
      </c>
      <c r="N216" s="34" t="n">
        <f aca="false">IFERROR(INDEX(Reference_Lists!$H$13:$H$14,MATCH(G216,Reference_Lists!$G$13:$G$14,0)),"UNMATCHED")</f>
        <v>15</v>
      </c>
      <c r="O216" s="32" t="str">
        <f aca="false">IF(AND(J216="Closed",ISNUMBER(M216),ISNUMBER(N216),M216&gt;=0),M216&lt;=N216,"NOT ASSESSED")</f>
        <v>NOT ASSESSED</v>
      </c>
      <c r="P216" s="36" t="str">
        <f aca="false">Raw_Data!A222</f>
        <v>CFM-2026-0227</v>
      </c>
      <c r="Q216" s="37" t="str">
        <f aca="false">IFERROR(IF(OR($A216="",$P216=""),"MISSING ID",IF(EXACT($A216,$P216),"ALIGNED","MISMATCH")),"CHECK")</f>
        <v>ALIGNED</v>
      </c>
    </row>
    <row r="217" customFormat="false" ht="19.5" hidden="false" customHeight="true" outlineLevel="0" collapsed="false">
      <c r="A217" s="29" t="s">
        <v>335</v>
      </c>
      <c r="B217" s="30" t="n">
        <f aca="false">IF(Raw_Data!B223="","",IF(ISTEXT(Raw_Data!B223),IFERROR(DATE(VALUE(RIGHT(TRIM(Raw_Data!B223),4)),VALUE(MID(TRIM(Raw_Data!B223),4,2)),VALUE(LEFT(TRIM(Raw_Data!B223),2))),"CHECK"),Raw_Data!B223))</f>
        <v>46111</v>
      </c>
      <c r="C217" s="31" t="str">
        <f aca="false">IFERROR(INDEX(Reference_Lists!$C$23:$C$35,MATCH(PROPER(TRIM(Raw_Data!C223)),Reference_Lists!$B$23:$B$35,0)),"UNMATCHED")</f>
        <v>Help Desk</v>
      </c>
      <c r="D217" s="31" t="str">
        <f aca="false">IFERROR(INDEX(Reference_Lists!$C$36:$C$50,MATCH(PROPER(TRIM(Raw_Data!D223)),Reference_Lists!$B$36:$B$50,0)),"UNMATCHED")</f>
        <v>Jabalia</v>
      </c>
      <c r="E217" s="31" t="str">
        <f aca="false">IF(Raw_Data!E223="","",Raw_Data!E223)</f>
        <v>Health</v>
      </c>
      <c r="F217" s="31" t="str">
        <f aca="false">IF(Raw_Data!F223="","",Raw_Data!F223)</f>
        <v>Complaint</v>
      </c>
      <c r="G217" s="32" t="str">
        <f aca="false">IF(Raw_Data!G223="","",Raw_Data!G223)</f>
        <v>Non-Sensitive</v>
      </c>
      <c r="H217" s="32" t="str">
        <f aca="false">IFERROR(INDEX(Reference_Lists!$C$51:$C$57,MATCH(PROPER(TRIM(Raw_Data!H223)),Reference_Lists!$B$51:$B$57,0)),"UNMATCHED")</f>
        <v>Male</v>
      </c>
      <c r="I217" s="32" t="str">
        <f aca="false">IF(Raw_Data!I223="","",Raw_Data!I223)</f>
        <v>Under 18</v>
      </c>
      <c r="J217" s="32" t="str">
        <f aca="false">IFERROR(INDEX(Reference_Lists!$C$58:$C$65,MATCH(PROPER(TRIM(Raw_Data!J223)),Reference_Lists!$B$58:$B$65,0)),"UNMATCHED")</f>
        <v>In Progress</v>
      </c>
      <c r="K217" s="30" t="str">
        <f aca="false">IF(Raw_Data!K223="","",IF(ISTEXT(Raw_Data!K223),IFERROR(DATE(VALUE(RIGHT(TRIM(Raw_Data!K223),4)),VALUE(MID(TRIM(Raw_Data!K223),4,2)),VALUE(LEFT(TRIM(Raw_Data!K223),2))),"CHECK"),Raw_Data!K223))</f>
        <v/>
      </c>
      <c r="L217" s="33" t="str">
        <f aca="false">IF(Raw_Data!L223="","",Raw_Data!L223)</f>
        <v>Requesting a referral pathway for a family member with limited mobility.</v>
      </c>
      <c r="M217" s="34" t="str">
        <f aca="false">IF(OR(B217="",K217=""),"",IFERROR(K217-B217,"CHECK"))</f>
        <v/>
      </c>
      <c r="N217" s="34" t="n">
        <f aca="false">IFERROR(INDEX(Reference_Lists!$H$13:$H$14,MATCH(G217,Reference_Lists!$G$13:$G$14,0)),"UNMATCHED")</f>
        <v>15</v>
      </c>
      <c r="O217" s="32" t="str">
        <f aca="false">IF(AND(J217="Closed",ISNUMBER(M217),ISNUMBER(N217),M217&gt;=0),M217&lt;=N217,"NOT ASSESSED")</f>
        <v>NOT ASSESSED</v>
      </c>
      <c r="P217" s="36" t="str">
        <f aca="false">Raw_Data!A223</f>
        <v>CFM-2026-0426</v>
      </c>
      <c r="Q217" s="37" t="str">
        <f aca="false">IFERROR(IF(OR($A217="",$P217=""),"MISSING ID",IF(EXACT($A217,$P217),"ALIGNED","MISMATCH")),"CHECK")</f>
        <v>ALIGNED</v>
      </c>
    </row>
    <row r="218" customFormat="false" ht="19.5" hidden="false" customHeight="true" outlineLevel="0" collapsed="false">
      <c r="A218" s="29" t="s">
        <v>336</v>
      </c>
      <c r="B218" s="30" t="n">
        <f aca="false">IF(Raw_Data!B224="","",IF(ISTEXT(Raw_Data!B224),IFERROR(DATE(VALUE(RIGHT(TRIM(Raw_Data!B224),4)),VALUE(MID(TRIM(Raw_Data!B224),4,2)),VALUE(LEFT(TRIM(Raw_Data!B224),2))),"CHECK"),Raw_Data!B224))</f>
        <v>46081</v>
      </c>
      <c r="C218" s="31" t="str">
        <f aca="false">IFERROR(INDEX(Reference_Lists!$C$23:$C$35,MATCH(PROPER(TRIM(Raw_Data!C224)),Reference_Lists!$B$23:$B$35,0)),"UNMATCHED")</f>
        <v>Suggestion Box</v>
      </c>
      <c r="D218" s="31" t="str">
        <f aca="false">IFERROR(INDEX(Reference_Lists!$C$36:$C$50,MATCH(PROPER(TRIM(Raw_Data!D224)),Reference_Lists!$B$36:$B$50,0)),"UNMATCHED")</f>
        <v>Deir al-Balah</v>
      </c>
      <c r="E218" s="31" t="str">
        <f aca="false">IF(Raw_Data!E224="","",Raw_Data!E224)</f>
        <v>Shelter</v>
      </c>
      <c r="F218" s="31" t="str">
        <f aca="false">IF(Raw_Data!F224="","",Raw_Data!F224)</f>
        <v>Complaint</v>
      </c>
      <c r="G218" s="32" t="str">
        <f aca="false">IF(Raw_Data!G224="","",Raw_Data!G224)</f>
        <v>Non-Sensitive</v>
      </c>
      <c r="H218" s="32" t="str">
        <f aca="false">IFERROR(INDEX(Reference_Lists!$C$51:$C$57,MATCH(PROPER(TRIM(Raw_Data!H224)),Reference_Lists!$B$51:$B$57,0)),"UNMATCHED")</f>
        <v>Female</v>
      </c>
      <c r="I218" s="32" t="str">
        <f aca="false">IF(Raw_Data!I224="","",Raw_Data!I224)</f>
        <v>45-59</v>
      </c>
      <c r="J218" s="32" t="str">
        <f aca="false">IFERROR(INDEX(Reference_Lists!$C$58:$C$65,MATCH(PROPER(TRIM(Raw_Data!J224)),Reference_Lists!$B$58:$B$65,0)),"UNMATCHED")</f>
        <v>Closed</v>
      </c>
      <c r="K218" s="30" t="n">
        <f aca="false">IF(Raw_Data!K224="","",IF(ISTEXT(Raw_Data!K224),IFERROR(DATE(VALUE(RIGHT(TRIM(Raw_Data!K224),4)),VALUE(MID(TRIM(Raw_Data!K224),4,2)),VALUE(LEFT(TRIM(Raw_Data!K224),2))),"CHECK"),Raw_Data!K224))</f>
        <v>46107</v>
      </c>
      <c r="L218" s="33" t="str">
        <f aca="false">IF(Raw_Data!L224="","",Raw_Data!L224)</f>
        <v>Shelter kit delivered on time and the team explained the use clearly.</v>
      </c>
      <c r="M218" s="34" t="n">
        <f aca="false">IF(OR(B218="",K218=""),"",IFERROR(K218-B218,"CHECK"))</f>
        <v>26</v>
      </c>
      <c r="N218" s="34" t="n">
        <f aca="false">IFERROR(INDEX(Reference_Lists!$H$13:$H$14,MATCH(G218,Reference_Lists!$G$13:$G$14,0)),"UNMATCHED")</f>
        <v>15</v>
      </c>
      <c r="O218" s="35" t="b">
        <f aca="false">IF(AND(J218="Closed",ISNUMBER(M218),ISNUMBER(N218),M218&gt;=0),M218&lt;=N218,"NOT ASSESSED")</f>
        <v>0</v>
      </c>
      <c r="P218" s="36" t="str">
        <f aca="false">Raw_Data!A224</f>
        <v>CFM-2026-0331</v>
      </c>
      <c r="Q218" s="37" t="str">
        <f aca="false">IFERROR(IF(OR($A218="",$P218=""),"MISSING ID",IF(EXACT($A218,$P218),"ALIGNED","MISMATCH")),"CHECK")</f>
        <v>ALIGNED</v>
      </c>
    </row>
    <row r="219" customFormat="false" ht="19.5" hidden="false" customHeight="true" outlineLevel="0" collapsed="false">
      <c r="A219" s="29" t="s">
        <v>337</v>
      </c>
      <c r="B219" s="30" t="n">
        <f aca="false">IF(Raw_Data!B225="","",IF(ISTEXT(Raw_Data!B225),IFERROR(DATE(VALUE(RIGHT(TRIM(Raw_Data!B225),4)),VALUE(MID(TRIM(Raw_Data!B225),4,2)),VALUE(LEFT(TRIM(Raw_Data!B225),2))),"CHECK"),Raw_Data!B225))</f>
        <v>46159</v>
      </c>
      <c r="C219" s="31" t="str">
        <f aca="false">IFERROR(INDEX(Reference_Lists!$C$23:$C$35,MATCH(PROPER(TRIM(Raw_Data!C225)),Reference_Lists!$B$23:$B$35,0)),"UNMATCHED")</f>
        <v>Phone Hotline</v>
      </c>
      <c r="D219" s="31" t="str">
        <f aca="false">IFERROR(INDEX(Reference_Lists!$C$36:$C$50,MATCH(PROPER(TRIM(Raw_Data!D225)),Reference_Lists!$B$36:$B$50,0)),"UNMATCHED")</f>
        <v>Gaza City</v>
      </c>
      <c r="E219" s="31" t="str">
        <f aca="false">IF(Raw_Data!E225="","",Raw_Data!E225)</f>
        <v>Nutrition</v>
      </c>
      <c r="F219" s="31" t="str">
        <f aca="false">IF(Raw_Data!F225="","",Raw_Data!F225)</f>
        <v>Appreciation</v>
      </c>
      <c r="G219" s="32" t="str">
        <f aca="false">IF(Raw_Data!G225="","",Raw_Data!G225)</f>
        <v>Non-Sensitive</v>
      </c>
      <c r="H219" s="32" t="str">
        <f aca="false">IFERROR(INDEX(Reference_Lists!$C$51:$C$57,MATCH(PROPER(TRIM(Raw_Data!H225)),Reference_Lists!$B$51:$B$57,0)),"UNMATCHED")</f>
        <v>Female</v>
      </c>
      <c r="I219" s="32" t="str">
        <f aca="false">IF(Raw_Data!I225="","",Raw_Data!I225)</f>
        <v/>
      </c>
      <c r="J219" s="32" t="str">
        <f aca="false">IFERROR(INDEX(Reference_Lists!$C$58:$C$65,MATCH(PROPER(TRIM(Raw_Data!J225)),Reference_Lists!$B$58:$B$65,0)),"UNMATCHED")</f>
        <v>Open</v>
      </c>
      <c r="K219" s="30" t="str">
        <f aca="false">IF(Raw_Data!K225="","",IF(ISTEXT(Raw_Data!K225),IFERROR(DATE(VALUE(RIGHT(TRIM(Raw_Data!K225),4)),VALUE(MID(TRIM(Raw_Data!K225),4,2)),VALUE(LEFT(TRIM(Raw_Data!K225),2))),"CHECK"),Raw_Data!K225))</f>
        <v/>
      </c>
      <c r="L219" s="33" t="str">
        <f aca="false">IF(Raw_Data!L225="","",Raw_Data!L225)</f>
        <v>Supplement was received but the guidance sheet was in English only.</v>
      </c>
      <c r="M219" s="34" t="str">
        <f aca="false">IF(OR(B219="",K219=""),"",IFERROR(K219-B219,"CHECK"))</f>
        <v/>
      </c>
      <c r="N219" s="34" t="n">
        <f aca="false">IFERROR(INDEX(Reference_Lists!$H$13:$H$14,MATCH(G219,Reference_Lists!$G$13:$G$14,0)),"UNMATCHED")</f>
        <v>15</v>
      </c>
      <c r="O219" s="32" t="str">
        <f aca="false">IF(AND(J219="Closed",ISNUMBER(M219),ISNUMBER(N219),M219&gt;=0),M219&lt;=N219,"NOT ASSESSED")</f>
        <v>NOT ASSESSED</v>
      </c>
      <c r="P219" s="36" t="str">
        <f aca="false">Raw_Data!A225</f>
        <v>CFM-2026-0099</v>
      </c>
      <c r="Q219" s="37" t="str">
        <f aca="false">IFERROR(IF(OR($A219="",$P219=""),"MISSING ID",IF(EXACT($A219,$P219),"ALIGNED","MISMATCH")),"CHECK")</f>
        <v>ALIGNED</v>
      </c>
    </row>
    <row r="220" customFormat="false" ht="19.5" hidden="false" customHeight="true" outlineLevel="0" collapsed="false">
      <c r="A220" s="29" t="s">
        <v>338</v>
      </c>
      <c r="B220" s="30" t="n">
        <f aca="false">IF(Raw_Data!B226="","",IF(ISTEXT(Raw_Data!B226),IFERROR(DATE(VALUE(RIGHT(TRIM(Raw_Data!B226),4)),VALUE(MID(TRIM(Raw_Data!B226),4,2)),VALUE(LEFT(TRIM(Raw_Data!B226),2))),"CHECK"),Raw_Data!B226))</f>
        <v>46041</v>
      </c>
      <c r="C220" s="31" t="str">
        <f aca="false">IFERROR(INDEX(Reference_Lists!$C$23:$C$35,MATCH(PROPER(TRIM(Raw_Data!C226)),Reference_Lists!$B$23:$B$35,0)),"UNMATCHED")</f>
        <v>Community Focal Point</v>
      </c>
      <c r="D220" s="31" t="str">
        <f aca="false">IFERROR(INDEX(Reference_Lists!$C$36:$C$50,MATCH(PROPER(TRIM(Raw_Data!D226)),Reference_Lists!$B$36:$B$50,0)),"UNMATCHED")</f>
        <v>Deir al-Balah</v>
      </c>
      <c r="E220" s="31" t="str">
        <f aca="false">IF(Raw_Data!E226="","",Raw_Data!E226)</f>
        <v/>
      </c>
      <c r="F220" s="31" t="str">
        <f aca="false">IF(Raw_Data!F226="","",Raw_Data!F226)</f>
        <v>Complaint</v>
      </c>
      <c r="G220" s="32" t="str">
        <f aca="false">IF(Raw_Data!G226="","",Raw_Data!G226)</f>
        <v>Non-Sensitive</v>
      </c>
      <c r="H220" s="32" t="str">
        <f aca="false">IFERROR(INDEX(Reference_Lists!$C$51:$C$57,MATCH(PROPER(TRIM(Raw_Data!H226)),Reference_Lists!$B$51:$B$57,0)),"UNMATCHED")</f>
        <v>Male</v>
      </c>
      <c r="I220" s="32" t="str">
        <f aca="false">IF(Raw_Data!I226="","",Raw_Data!I226)</f>
        <v>30-44</v>
      </c>
      <c r="J220" s="32" t="str">
        <f aca="false">IFERROR(INDEX(Reference_Lists!$C$58:$C$65,MATCH(PROPER(TRIM(Raw_Data!J226)),Reference_Lists!$B$58:$B$65,0)),"UNMATCHED")</f>
        <v>Closed</v>
      </c>
      <c r="K220" s="30" t="n">
        <f aca="false">IF(Raw_Data!K226="","",IF(ISTEXT(Raw_Data!K226),IFERROR(DATE(VALUE(RIGHT(TRIM(Raw_Data!K226),4)),VALUE(MID(TRIM(Raw_Data!K226),4,2)),VALUE(LEFT(TRIM(Raw_Data!K226),2))),"CHECK"),Raw_Data!K226))</f>
        <v>46061</v>
      </c>
      <c r="L220" s="33" t="str">
        <f aca="false">IF(Raw_Data!L226="","",Raw_Data!L226)</f>
        <v>Latrine at the site block needs cleaning and lighting at night.</v>
      </c>
      <c r="M220" s="34" t="n">
        <f aca="false">IF(OR(B220="",K220=""),"",IFERROR(K220-B220,"CHECK"))</f>
        <v>20</v>
      </c>
      <c r="N220" s="34" t="n">
        <f aca="false">IFERROR(INDEX(Reference_Lists!$H$13:$H$14,MATCH(G220,Reference_Lists!$G$13:$G$14,0)),"UNMATCHED")</f>
        <v>15</v>
      </c>
      <c r="O220" s="35" t="b">
        <f aca="false">IF(AND(J220="Closed",ISNUMBER(M220),ISNUMBER(N220),M220&gt;=0),M220&lt;=N220,"NOT ASSESSED")</f>
        <v>0</v>
      </c>
      <c r="P220" s="36" t="str">
        <f aca="false">Raw_Data!A226</f>
        <v>CFM-2026-0300</v>
      </c>
      <c r="Q220" s="37" t="str">
        <f aca="false">IFERROR(IF(OR($A220="",$P220=""),"MISSING ID",IF(EXACT($A220,$P220),"ALIGNED","MISMATCH")),"CHECK")</f>
        <v>ALIGNED</v>
      </c>
    </row>
    <row r="221" customFormat="false" ht="19.5" hidden="false" customHeight="true" outlineLevel="0" collapsed="false">
      <c r="A221" s="29" t="s">
        <v>339</v>
      </c>
      <c r="B221" s="30" t="n">
        <f aca="false">IF(Raw_Data!B227="","",IF(ISTEXT(Raw_Data!B227),IFERROR(DATE(VALUE(RIGHT(TRIM(Raw_Data!B227),4)),VALUE(MID(TRIM(Raw_Data!B227),4,2)),VALUE(LEFT(TRIM(Raw_Data!B227),2))),"CHECK"),Raw_Data!B227))</f>
        <v>46091</v>
      </c>
      <c r="C221" s="31" t="str">
        <f aca="false">IFERROR(INDEX(Reference_Lists!$C$23:$C$35,MATCH(PROPER(TRIM(Raw_Data!C227)),Reference_Lists!$B$23:$B$35,0)),"UNMATCHED")</f>
        <v>Help Desk</v>
      </c>
      <c r="D221" s="31" t="str">
        <f aca="false">IFERROR(INDEX(Reference_Lists!$C$36:$C$50,MATCH(PROPER(TRIM(Raw_Data!D227)),Reference_Lists!$B$36:$B$50,0)),"UNMATCHED")</f>
        <v>Rafah</v>
      </c>
      <c r="E221" s="31" t="str">
        <f aca="false">IF(Raw_Data!E227="","",Raw_Data!E227)</f>
        <v>Health</v>
      </c>
      <c r="F221" s="31" t="str">
        <f aca="false">IF(Raw_Data!F227="","",Raw_Data!F227)</f>
        <v>Complaint</v>
      </c>
      <c r="G221" s="32" t="str">
        <f aca="false">IF(Raw_Data!G227="","",Raw_Data!G227)</f>
        <v>Non-Sensitive</v>
      </c>
      <c r="H221" s="32" t="str">
        <f aca="false">IFERROR(INDEX(Reference_Lists!$C$51:$C$57,MATCH(PROPER(TRIM(Raw_Data!H227)),Reference_Lists!$B$51:$B$57,0)),"UNMATCHED")</f>
        <v>Female</v>
      </c>
      <c r="I221" s="32" t="str">
        <f aca="false">IF(Raw_Data!I227="","",Raw_Data!I227)</f>
        <v>18-29</v>
      </c>
      <c r="J221" s="32" t="str">
        <f aca="false">IFERROR(INDEX(Reference_Lists!$C$58:$C$65,MATCH(PROPER(TRIM(Raw_Data!J227)),Reference_Lists!$B$58:$B$65,0)),"UNMATCHED")</f>
        <v>Referred</v>
      </c>
      <c r="K221" s="30" t="str">
        <f aca="false">IF(Raw_Data!K227="","",IF(ISTEXT(Raw_Data!K227),IFERROR(DATE(VALUE(RIGHT(TRIM(Raw_Data!K227),4)),VALUE(MID(TRIM(Raw_Data!K227),4,2)),VALUE(LEFT(TRIM(Raw_Data!K227),2))),"CHECK"),Raw_Data!K227))</f>
        <v/>
      </c>
      <c r="L221" s="33" t="str">
        <f aca="false">IF(Raw_Data!L227="","",Raw_Data!L227)</f>
        <v>Clinic opening hours are not clear to the community.</v>
      </c>
      <c r="M221" s="34" t="str">
        <f aca="false">IF(OR(B221="",K221=""),"",IFERROR(K221-B221,"CHECK"))</f>
        <v/>
      </c>
      <c r="N221" s="34" t="n">
        <f aca="false">IFERROR(INDEX(Reference_Lists!$H$13:$H$14,MATCH(G221,Reference_Lists!$G$13:$G$14,0)),"UNMATCHED")</f>
        <v>15</v>
      </c>
      <c r="O221" s="32" t="str">
        <f aca="false">IF(AND(J221="Closed",ISNUMBER(M221),ISNUMBER(N221),M221&gt;=0),M221&lt;=N221,"NOT ASSESSED")</f>
        <v>NOT ASSESSED</v>
      </c>
      <c r="P221" s="36" t="str">
        <f aca="false">Raw_Data!A227</f>
        <v>CFM-2026-0202</v>
      </c>
      <c r="Q221" s="37" t="str">
        <f aca="false">IFERROR(IF(OR($A221="",$P221=""),"MISSING ID",IF(EXACT($A221,$P221),"ALIGNED","MISMATCH")),"CHECK")</f>
        <v>ALIGNED</v>
      </c>
    </row>
    <row r="222" customFormat="false" ht="19.5" hidden="false" customHeight="true" outlineLevel="0" collapsed="false">
      <c r="A222" s="29" t="s">
        <v>340</v>
      </c>
      <c r="B222" s="30" t="n">
        <f aca="false">IF(Raw_Data!B228="","",IF(ISTEXT(Raw_Data!B228),IFERROR(DATE(VALUE(RIGHT(TRIM(Raw_Data!B228),4)),VALUE(MID(TRIM(Raw_Data!B228),4,2)),VALUE(LEFT(TRIM(Raw_Data!B228),2))),"CHECK"),Raw_Data!B228))</f>
        <v>46100</v>
      </c>
      <c r="C222" s="31" t="str">
        <f aca="false">IFERROR(INDEX(Reference_Lists!$C$23:$C$35,MATCH(PROPER(TRIM(Raw_Data!C228)),Reference_Lists!$B$23:$B$35,0)),"UNMATCHED")</f>
        <v>Help Desk</v>
      </c>
      <c r="D222" s="31" t="str">
        <f aca="false">IFERROR(INDEX(Reference_Lists!$C$36:$C$50,MATCH(PROPER(TRIM(Raw_Data!D228)),Reference_Lists!$B$36:$B$50,0)),"UNMATCHED")</f>
        <v>Deir al-Balah</v>
      </c>
      <c r="E222" s="31" t="str">
        <f aca="false">IF(Raw_Data!E228="","",Raw_Data!E228)</f>
        <v>Health</v>
      </c>
      <c r="F222" s="31" t="str">
        <f aca="false">IF(Raw_Data!F228="","",Raw_Data!F228)</f>
        <v>Complaint</v>
      </c>
      <c r="G222" s="32" t="str">
        <f aca="false">IF(Raw_Data!G228="","",Raw_Data!G228)</f>
        <v>Non-Sensitive</v>
      </c>
      <c r="H222" s="32" t="str">
        <f aca="false">IFERROR(INDEX(Reference_Lists!$C$51:$C$57,MATCH(PROPER(TRIM(Raw_Data!H228)),Reference_Lists!$B$51:$B$57,0)),"UNMATCHED")</f>
        <v>Male</v>
      </c>
      <c r="I222" s="32" t="str">
        <f aca="false">IF(Raw_Data!I228="","",Raw_Data!I228)</f>
        <v>18-29</v>
      </c>
      <c r="J222" s="32" t="str">
        <f aca="false">IFERROR(INDEX(Reference_Lists!$C$58:$C$65,MATCH(PROPER(TRIM(Raw_Data!J228)),Reference_Lists!$B$58:$B$65,0)),"UNMATCHED")</f>
        <v>Closed</v>
      </c>
      <c r="K222" s="30" t="n">
        <f aca="false">IF(Raw_Data!K228="","",IF(ISTEXT(Raw_Data!K228),IFERROR(DATE(VALUE(RIGHT(TRIM(Raw_Data!K228),4)),VALUE(MID(TRIM(Raw_Data!K228),4,2)),VALUE(LEFT(TRIM(Raw_Data!K228),2))),"CHECK"),Raw_Data!K228))</f>
        <v>46107</v>
      </c>
      <c r="L222" s="33" t="str">
        <f aca="false">IF(Raw_Data!L228="","",Raw_Data!L228)</f>
        <v>Requesting a referral pathway for a family member with limited mobility.</v>
      </c>
      <c r="M222" s="34" t="n">
        <f aca="false">IF(OR(B222="",K222=""),"",IFERROR(K222-B222,"CHECK"))</f>
        <v>7</v>
      </c>
      <c r="N222" s="34" t="n">
        <f aca="false">IFERROR(INDEX(Reference_Lists!$H$13:$H$14,MATCH(G222,Reference_Lists!$G$13:$G$14,0)),"UNMATCHED")</f>
        <v>15</v>
      </c>
      <c r="O222" s="35" t="b">
        <f aca="false">IF(AND(J222="Closed",ISNUMBER(M222),ISNUMBER(N222),M222&gt;=0),M222&lt;=N222,"NOT ASSESSED")</f>
        <v>1</v>
      </c>
      <c r="P222" s="36" t="str">
        <f aca="false">Raw_Data!A228</f>
        <v>CFM-2026-0376</v>
      </c>
      <c r="Q222" s="37" t="str">
        <f aca="false">IFERROR(IF(OR($A222="",$P222=""),"MISSING ID",IF(EXACT($A222,$P222),"ALIGNED","MISMATCH")),"CHECK")</f>
        <v>ALIGNED</v>
      </c>
    </row>
    <row r="223" customFormat="false" ht="19.5" hidden="false" customHeight="true" outlineLevel="0" collapsed="false">
      <c r="A223" s="29" t="s">
        <v>341</v>
      </c>
      <c r="B223" s="30" t="n">
        <f aca="false">IF(Raw_Data!B229="","",IF(ISTEXT(Raw_Data!B229),IFERROR(DATE(VALUE(RIGHT(TRIM(Raw_Data!B229),4)),VALUE(MID(TRIM(Raw_Data!B229),4,2)),VALUE(LEFT(TRIM(Raw_Data!B229),2))),"CHECK"),Raw_Data!B229))</f>
        <v>46120</v>
      </c>
      <c r="C223" s="31" t="str">
        <f aca="false">IFERROR(INDEX(Reference_Lists!$C$23:$C$35,MATCH(PROPER(TRIM(Raw_Data!C229)),Reference_Lists!$B$23:$B$35,0)),"UNMATCHED")</f>
        <v>In-Person at Distribution</v>
      </c>
      <c r="D223" s="31" t="str">
        <f aca="false">IFERROR(INDEX(Reference_Lists!$C$36:$C$50,MATCH(PROPER(TRIM(Raw_Data!D229)),Reference_Lists!$B$36:$B$50,0)),"UNMATCHED")</f>
        <v>Khan Yunis</v>
      </c>
      <c r="E223" s="31" t="str">
        <f aca="false">IF(Raw_Data!E229="","",Raw_Data!E229)</f>
        <v>Shelter</v>
      </c>
      <c r="F223" s="31" t="str">
        <f aca="false">IF(Raw_Data!F229="","",Raw_Data!F229)</f>
        <v>Complaint</v>
      </c>
      <c r="G223" s="32" t="str">
        <f aca="false">IF(Raw_Data!G229="","",Raw_Data!G229)</f>
        <v>Non-Sensitive</v>
      </c>
      <c r="H223" s="32" t="str">
        <f aca="false">IFERROR(INDEX(Reference_Lists!$C$51:$C$57,MATCH(PROPER(TRIM(Raw_Data!H229)),Reference_Lists!$B$51:$B$57,0)),"UNMATCHED")</f>
        <v>Female</v>
      </c>
      <c r="I223" s="32" t="str">
        <f aca="false">IF(Raw_Data!I229="","",Raw_Data!I229)</f>
        <v>60+</v>
      </c>
      <c r="J223" s="32" t="str">
        <f aca="false">IFERROR(INDEX(Reference_Lists!$C$58:$C$65,MATCH(PROPER(TRIM(Raw_Data!J229)),Reference_Lists!$B$58:$B$65,0)),"UNMATCHED")</f>
        <v>Closed</v>
      </c>
      <c r="K223" s="30" t="n">
        <f aca="false">IF(Raw_Data!K229="","",IF(ISTEXT(Raw_Data!K229),IFERROR(DATE(VALUE(RIGHT(TRIM(Raw_Data!K229),4)),VALUE(MID(TRIM(Raw_Data!K229),4,2)),VALUE(LEFT(TRIM(Raw_Data!K229),2))),"CHECK"),Raw_Data!K229))</f>
        <v>46122</v>
      </c>
      <c r="L223" s="33" t="str">
        <f aca="false">IF(Raw_Data!L229="","",Raw_Data!L229)</f>
        <v>Shelter kit delivered on time and the team explained the use clearly.</v>
      </c>
      <c r="M223" s="34" t="n">
        <f aca="false">IF(OR(B223="",K223=""),"",IFERROR(K223-B223,"CHECK"))</f>
        <v>2</v>
      </c>
      <c r="N223" s="34" t="n">
        <f aca="false">IFERROR(INDEX(Reference_Lists!$H$13:$H$14,MATCH(G223,Reference_Lists!$G$13:$G$14,0)),"UNMATCHED")</f>
        <v>15</v>
      </c>
      <c r="O223" s="35" t="b">
        <f aca="false">IF(AND(J223="Closed",ISNUMBER(M223),ISNUMBER(N223),M223&gt;=0),M223&lt;=N223,"NOT ASSESSED")</f>
        <v>1</v>
      </c>
      <c r="P223" s="36" t="str">
        <f aca="false">Raw_Data!A229</f>
        <v>CFM-2026-0395</v>
      </c>
      <c r="Q223" s="37" t="str">
        <f aca="false">IFERROR(IF(OR($A223="",$P223=""),"MISSING ID",IF(EXACT($A223,$P223),"ALIGNED","MISMATCH")),"CHECK")</f>
        <v>ALIGNED</v>
      </c>
    </row>
    <row r="224" customFormat="false" ht="19.5" hidden="false" customHeight="true" outlineLevel="0" collapsed="false">
      <c r="A224" s="29" t="s">
        <v>342</v>
      </c>
      <c r="B224" s="30" t="n">
        <f aca="false">IF(Raw_Data!B230="","",IF(ISTEXT(Raw_Data!B230),IFERROR(DATE(VALUE(RIGHT(TRIM(Raw_Data!B230),4)),VALUE(MID(TRIM(Raw_Data!B230),4,2)),VALUE(LEFT(TRIM(Raw_Data!B230),2))),"CHECK"),Raw_Data!B230))</f>
        <v>46088</v>
      </c>
      <c r="C224" s="31" t="str">
        <f aca="false">IFERROR(INDEX(Reference_Lists!$C$23:$C$35,MATCH(PROPER(TRIM(Raw_Data!C230)),Reference_Lists!$B$23:$B$35,0)),"UNMATCHED")</f>
        <v>In-Person at Distribution</v>
      </c>
      <c r="D224" s="31" t="str">
        <f aca="false">IFERROR(INDEX(Reference_Lists!$C$36:$C$50,MATCH(PROPER(TRIM(Raw_Data!D230)),Reference_Lists!$B$36:$B$50,0)),"UNMATCHED")</f>
        <v>Nuseirat</v>
      </c>
      <c r="E224" s="31" t="str">
        <f aca="false">IF(Raw_Data!E230="","",Raw_Data!E230)</f>
        <v>WASH</v>
      </c>
      <c r="F224" s="31" t="str">
        <f aca="false">IF(Raw_Data!F230="","",Raw_Data!F230)</f>
        <v>Suggestion</v>
      </c>
      <c r="G224" s="32" t="str">
        <f aca="false">IF(Raw_Data!G230="","",Raw_Data!G230)</f>
        <v>Non-Sensitive</v>
      </c>
      <c r="H224" s="32" t="str">
        <f aca="false">IFERROR(INDEX(Reference_Lists!$C$51:$C$57,MATCH(PROPER(TRIM(Raw_Data!H230)),Reference_Lists!$B$51:$B$57,0)),"UNMATCHED")</f>
        <v>Female</v>
      </c>
      <c r="I224" s="32" t="str">
        <f aca="false">IF(Raw_Data!I230="","",Raw_Data!I230)</f>
        <v>45-59</v>
      </c>
      <c r="J224" s="32" t="str">
        <f aca="false">IFERROR(INDEX(Reference_Lists!$C$58:$C$65,MATCH(PROPER(TRIM(Raw_Data!J230)),Reference_Lists!$B$58:$B$65,0)),"UNMATCHED")</f>
        <v>Closed</v>
      </c>
      <c r="K224" s="30" t="n">
        <f aca="false">IF(Raw_Data!K230="","",IF(ISTEXT(Raw_Data!K230),IFERROR(DATE(VALUE(RIGHT(TRIM(Raw_Data!K230),4)),VALUE(MID(TRIM(Raw_Data!K230),4,2)),VALUE(LEFT(TRIM(Raw_Data!K230),2))),"CHECK"),Raw_Data!K230))</f>
        <v>46105</v>
      </c>
      <c r="L224" s="33" t="str">
        <f aca="false">IF(Raw_Data!L230="","",Raw_Data!L230)</f>
        <v>Water truck did not arrive at the agreed time for three consecutive days.</v>
      </c>
      <c r="M224" s="34" t="n">
        <f aca="false">IF(OR(B224="",K224=""),"",IFERROR(K224-B224,"CHECK"))</f>
        <v>17</v>
      </c>
      <c r="N224" s="34" t="n">
        <f aca="false">IFERROR(INDEX(Reference_Lists!$H$13:$H$14,MATCH(G224,Reference_Lists!$G$13:$G$14,0)),"UNMATCHED")</f>
        <v>15</v>
      </c>
      <c r="O224" s="35" t="b">
        <f aca="false">IF(AND(J224="Closed",ISNUMBER(M224),ISNUMBER(N224),M224&gt;=0),M224&lt;=N224,"NOT ASSESSED")</f>
        <v>0</v>
      </c>
      <c r="P224" s="36" t="str">
        <f aca="false">Raw_Data!A230</f>
        <v>CFM-2026-0161</v>
      </c>
      <c r="Q224" s="37" t="str">
        <f aca="false">IFERROR(IF(OR($A224="",$P224=""),"MISSING ID",IF(EXACT($A224,$P224),"ALIGNED","MISMATCH")),"CHECK")</f>
        <v>ALIGNED</v>
      </c>
    </row>
    <row r="225" customFormat="false" ht="19.5" hidden="false" customHeight="true" outlineLevel="0" collapsed="false">
      <c r="A225" s="29" t="s">
        <v>343</v>
      </c>
      <c r="B225" s="30" t="n">
        <f aca="false">IF(Raw_Data!B231="","",IF(ISTEXT(Raw_Data!B231),IFERROR(DATE(VALUE(RIGHT(TRIM(Raw_Data!B231),4)),VALUE(MID(TRIM(Raw_Data!B231),4,2)),VALUE(LEFT(TRIM(Raw_Data!B231),2))),"CHECK"),Raw_Data!B231))</f>
        <v>46036</v>
      </c>
      <c r="C225" s="31" t="str">
        <f aca="false">IFERROR(INDEX(Reference_Lists!$C$23:$C$35,MATCH(PROPER(TRIM(Raw_Data!C231)),Reference_Lists!$B$23:$B$35,0)),"UNMATCHED")</f>
        <v>Help Desk</v>
      </c>
      <c r="D225" s="31" t="str">
        <f aca="false">IFERROR(INDEX(Reference_Lists!$C$36:$C$50,MATCH(PROPER(TRIM(Raw_Data!D231)),Reference_Lists!$B$36:$B$50,0)),"UNMATCHED")</f>
        <v>Khan Yunis</v>
      </c>
      <c r="E225" s="31" t="str">
        <f aca="false">IF(Raw_Data!E231="","",Raw_Data!E231)</f>
        <v>WASH</v>
      </c>
      <c r="F225" s="31" t="str">
        <f aca="false">IF(Raw_Data!F231="","",Raw_Data!F231)</f>
        <v>Complaint</v>
      </c>
      <c r="G225" s="32" t="str">
        <f aca="false">IF(Raw_Data!G231="","",Raw_Data!G231)</f>
        <v>Non-Sensitive</v>
      </c>
      <c r="H225" s="32" t="str">
        <f aca="false">IFERROR(INDEX(Reference_Lists!$C$51:$C$57,MATCH(PROPER(TRIM(Raw_Data!H231)),Reference_Lists!$B$51:$B$57,0)),"UNMATCHED")</f>
        <v>Prefer not to say</v>
      </c>
      <c r="I225" s="32" t="str">
        <f aca="false">IF(Raw_Data!I231="","",Raw_Data!I231)</f>
        <v>30-44</v>
      </c>
      <c r="J225" s="32" t="str">
        <f aca="false">IFERROR(INDEX(Reference_Lists!$C$58:$C$65,MATCH(PROPER(TRIM(Raw_Data!J231)),Reference_Lists!$B$58:$B$65,0)),"UNMATCHED")</f>
        <v>In Progress</v>
      </c>
      <c r="K225" s="30" t="n">
        <f aca="false">IF(Raw_Data!K231="","",IF(ISTEXT(Raw_Data!K231),IFERROR(DATE(VALUE(RIGHT(TRIM(Raw_Data!K231),4)),VALUE(MID(TRIM(Raw_Data!K231),4,2)),VALUE(LEFT(TRIM(Raw_Data!K231),2))),"CHECK"),Raw_Data!K231))</f>
        <v>46054</v>
      </c>
      <c r="L225" s="33" t="str">
        <f aca="false">IF(Raw_Data!L231="","",Raw_Data!L231)</f>
        <v>Latrine at the site block needs cleaning and lighting at night.</v>
      </c>
      <c r="M225" s="34" t="n">
        <f aca="false">IF(OR(B225="",K225=""),"",IFERROR(K225-B225,"CHECK"))</f>
        <v>18</v>
      </c>
      <c r="N225" s="34" t="n">
        <f aca="false">IFERROR(INDEX(Reference_Lists!$H$13:$H$14,MATCH(G225,Reference_Lists!$G$13:$G$14,0)),"UNMATCHED")</f>
        <v>15</v>
      </c>
      <c r="O225" s="32" t="str">
        <f aca="false">IF(AND(J225="Closed",ISNUMBER(M225),ISNUMBER(N225),M225&gt;=0),M225&lt;=N225,"NOT ASSESSED")</f>
        <v>NOT ASSESSED</v>
      </c>
      <c r="P225" s="36" t="str">
        <f aca="false">Raw_Data!A231</f>
        <v>CFM-2026-0271</v>
      </c>
      <c r="Q225" s="37" t="str">
        <f aca="false">IFERROR(IF(OR($A225="",$P225=""),"MISSING ID",IF(EXACT($A225,$P225),"ALIGNED","MISMATCH")),"CHECK")</f>
        <v>ALIGNED</v>
      </c>
    </row>
    <row r="226" customFormat="false" ht="19.5" hidden="false" customHeight="true" outlineLevel="0" collapsed="false">
      <c r="A226" s="29" t="s">
        <v>344</v>
      </c>
      <c r="B226" s="30" t="n">
        <f aca="false">IF(Raw_Data!B232="","",IF(ISTEXT(Raw_Data!B232),IFERROR(DATE(VALUE(RIGHT(TRIM(Raw_Data!B232),4)),VALUE(MID(TRIM(Raw_Data!B232),4,2)),VALUE(LEFT(TRIM(Raw_Data!B232),2))),"CHECK"),Raw_Data!B232))</f>
        <v>46032</v>
      </c>
      <c r="C226" s="31" t="str">
        <f aca="false">IFERROR(INDEX(Reference_Lists!$C$23:$C$35,MATCH(PROPER(TRIM(Raw_Data!C232)),Reference_Lists!$B$23:$B$35,0)),"UNMATCHED")</f>
        <v>In-Person at Distribution</v>
      </c>
      <c r="D226" s="31" t="str">
        <f aca="false">IFERROR(INDEX(Reference_Lists!$C$36:$C$50,MATCH(PROPER(TRIM(Raw_Data!D232)),Reference_Lists!$B$36:$B$50,0)),"UNMATCHED")</f>
        <v>Khan Yunis</v>
      </c>
      <c r="E226" s="31" t="str">
        <f aca="false">IF(Raw_Data!E232="","",Raw_Data!E232)</f>
        <v>Shelter</v>
      </c>
      <c r="F226" s="31" t="str">
        <f aca="false">IF(Raw_Data!F232="","",Raw_Data!F232)</f>
        <v>Complaint</v>
      </c>
      <c r="G226" s="32" t="str">
        <f aca="false">IF(Raw_Data!G232="","",Raw_Data!G232)</f>
        <v>Non-Sensitive</v>
      </c>
      <c r="H226" s="32" t="str">
        <f aca="false">IFERROR(INDEX(Reference_Lists!$C$51:$C$57,MATCH(PROPER(TRIM(Raw_Data!H232)),Reference_Lists!$B$51:$B$57,0)),"UNMATCHED")</f>
        <v>Male</v>
      </c>
      <c r="I226" s="32" t="str">
        <f aca="false">IF(Raw_Data!I232="","",Raw_Data!I232)</f>
        <v>18-29</v>
      </c>
      <c r="J226" s="32" t="str">
        <f aca="false">IFERROR(INDEX(Reference_Lists!$C$58:$C$65,MATCH(PROPER(TRIM(Raw_Data!J232)),Reference_Lists!$B$58:$B$65,0)),"UNMATCHED")</f>
        <v>In Progress</v>
      </c>
      <c r="K226" s="30" t="str">
        <f aca="false">IF(Raw_Data!K232="","",IF(ISTEXT(Raw_Data!K232),IFERROR(DATE(VALUE(RIGHT(TRIM(Raw_Data!K232),4)),VALUE(MID(TRIM(Raw_Data!K232),4,2)),VALUE(LEFT(TRIM(Raw_Data!K232),2))),"CHECK"),Raw_Data!K232))</f>
        <v/>
      </c>
      <c r="L226" s="33" t="str">
        <f aca="false">IF(Raw_Data!L232="","",Raw_Data!L232)</f>
        <v>Shelter kit delivered on time and the team explained the use clearly.</v>
      </c>
      <c r="M226" s="34" t="str">
        <f aca="false">IF(OR(B226="",K226=""),"",IFERROR(K226-B226,"CHECK"))</f>
        <v/>
      </c>
      <c r="N226" s="34" t="n">
        <f aca="false">IFERROR(INDEX(Reference_Lists!$H$13:$H$14,MATCH(G226,Reference_Lists!$G$13:$G$14,0)),"UNMATCHED")</f>
        <v>15</v>
      </c>
      <c r="O226" s="32" t="str">
        <f aca="false">IF(AND(J226="Closed",ISNUMBER(M226),ISNUMBER(N226),M226&gt;=0),M226&lt;=N226,"NOT ASSESSED")</f>
        <v>NOT ASSESSED</v>
      </c>
      <c r="P226" s="36" t="str">
        <f aca="false">Raw_Data!A232</f>
        <v>CFM-2026-0070</v>
      </c>
      <c r="Q226" s="37" t="str">
        <f aca="false">IFERROR(IF(OR($A226="",$P226=""),"MISSING ID",IF(EXACT($A226,$P226),"ALIGNED","MISMATCH")),"CHECK")</f>
        <v>ALIGNED</v>
      </c>
    </row>
    <row r="227" customFormat="false" ht="19.5" hidden="false" customHeight="true" outlineLevel="0" collapsed="false">
      <c r="A227" s="29" t="s">
        <v>345</v>
      </c>
      <c r="B227" s="30" t="n">
        <f aca="false">IF(Raw_Data!B233="","",IF(ISTEXT(Raw_Data!B233),IFERROR(DATE(VALUE(RIGHT(TRIM(Raw_Data!B233),4)),VALUE(MID(TRIM(Raw_Data!B233),4,2)),VALUE(LEFT(TRIM(Raw_Data!B233),2))),"CHECK"),Raw_Data!B233))</f>
        <v>46107</v>
      </c>
      <c r="C227" s="31" t="str">
        <f aca="false">IFERROR(INDEX(Reference_Lists!$C$23:$C$35,MATCH(PROPER(TRIM(Raw_Data!C233)),Reference_Lists!$B$23:$B$35,0)),"UNMATCHED")</f>
        <v>Community Focal Point</v>
      </c>
      <c r="D227" s="31" t="str">
        <f aca="false">IFERROR(INDEX(Reference_Lists!$C$36:$C$50,MATCH(PROPER(TRIM(Raw_Data!D233)),Reference_Lists!$B$36:$B$50,0)),"UNMATCHED")</f>
        <v>Nuseirat</v>
      </c>
      <c r="E227" s="31" t="str">
        <f aca="false">IF(Raw_Data!E233="","",Raw_Data!E233)</f>
        <v>WASH</v>
      </c>
      <c r="F227" s="31" t="str">
        <f aca="false">IF(Raw_Data!F233="","",Raw_Data!F233)</f>
        <v>Complaint</v>
      </c>
      <c r="G227" s="32" t="str">
        <f aca="false">IF(Raw_Data!G233="","",Raw_Data!G233)</f>
        <v>Non-Sensitive</v>
      </c>
      <c r="H227" s="32" t="str">
        <f aca="false">IFERROR(INDEX(Reference_Lists!$C$51:$C$57,MATCH(PROPER(TRIM(Raw_Data!H233)),Reference_Lists!$B$51:$B$57,0)),"UNMATCHED")</f>
        <v>Male</v>
      </c>
      <c r="I227" s="32" t="str">
        <f aca="false">IF(Raw_Data!I233="","",Raw_Data!I233)</f>
        <v>30-44</v>
      </c>
      <c r="J227" s="32" t="str">
        <f aca="false">IFERROR(INDEX(Reference_Lists!$C$58:$C$65,MATCH(PROPER(TRIM(Raw_Data!J233)),Reference_Lists!$B$58:$B$65,0)),"UNMATCHED")</f>
        <v>Closed</v>
      </c>
      <c r="K227" s="30" t="n">
        <f aca="false">IF(Raw_Data!K233="","",IF(ISTEXT(Raw_Data!K233),IFERROR(DATE(VALUE(RIGHT(TRIM(Raw_Data!K233),4)),VALUE(MID(TRIM(Raw_Data!K233),4,2)),VALUE(LEFT(TRIM(Raw_Data!K233),2))),"CHECK"),Raw_Data!K233))</f>
        <v>46117</v>
      </c>
      <c r="L227" s="33" t="str">
        <f aca="false">IF(Raw_Data!L233="","",Raw_Data!L233)</f>
        <v>Requesting additional jerrycans for a shared shelter of four families.</v>
      </c>
      <c r="M227" s="34" t="n">
        <f aca="false">IF(OR(B227="",K227=""),"",IFERROR(K227-B227,"CHECK"))</f>
        <v>10</v>
      </c>
      <c r="N227" s="34" t="n">
        <f aca="false">IFERROR(INDEX(Reference_Lists!$H$13:$H$14,MATCH(G227,Reference_Lists!$G$13:$G$14,0)),"UNMATCHED")</f>
        <v>15</v>
      </c>
      <c r="O227" s="35" t="b">
        <f aca="false">IF(AND(J227="Closed",ISNUMBER(M227),ISNUMBER(N227),M227&gt;=0),M227&lt;=N227,"NOT ASSESSED")</f>
        <v>1</v>
      </c>
      <c r="P227" s="36" t="str">
        <f aca="false">Raw_Data!A233</f>
        <v>CFM-2026-0465</v>
      </c>
      <c r="Q227" s="37" t="str">
        <f aca="false">IFERROR(IF(OR($A227="",$P227=""),"MISSING ID",IF(EXACT($A227,$P227),"ALIGNED","MISMATCH")),"CHECK")</f>
        <v>ALIGNED</v>
      </c>
    </row>
    <row r="228" customFormat="false" ht="19.5" hidden="false" customHeight="true" outlineLevel="0" collapsed="false">
      <c r="A228" s="29" t="s">
        <v>346</v>
      </c>
      <c r="B228" s="30" t="n">
        <f aca="false">IF(Raw_Data!B234="","",IF(ISTEXT(Raw_Data!B234),IFERROR(DATE(VALUE(RIGHT(TRIM(Raw_Data!B234),4)),VALUE(MID(TRIM(Raw_Data!B234),4,2)),VALUE(LEFT(TRIM(Raw_Data!B234),2))),"CHECK"),Raw_Data!B234))</f>
        <v>46220</v>
      </c>
      <c r="C228" s="31" t="str">
        <f aca="false">IFERROR(INDEX(Reference_Lists!$C$23:$C$35,MATCH(PROPER(TRIM(Raw_Data!C234)),Reference_Lists!$B$23:$B$35,0)),"UNMATCHED")</f>
        <v>Suggestion Box</v>
      </c>
      <c r="D228" s="31" t="str">
        <f aca="false">IFERROR(INDEX(Reference_Lists!$C$36:$C$50,MATCH(PROPER(TRIM(Raw_Data!D234)),Reference_Lists!$B$36:$B$50,0)),"UNMATCHED")</f>
        <v>Deir al-Balah</v>
      </c>
      <c r="E228" s="31" t="str">
        <f aca="false">IF(Raw_Data!E234="","",Raw_Data!E234)</f>
        <v>WASH</v>
      </c>
      <c r="F228" s="31" t="str">
        <f aca="false">IF(Raw_Data!F234="","",Raw_Data!F234)</f>
        <v>Complaint</v>
      </c>
      <c r="G228" s="32" t="str">
        <f aca="false">IF(Raw_Data!G234="","",Raw_Data!G234)</f>
        <v>Non-Sensitive</v>
      </c>
      <c r="H228" s="32" t="str">
        <f aca="false">IFERROR(INDEX(Reference_Lists!$C$51:$C$57,MATCH(PROPER(TRIM(Raw_Data!H234)),Reference_Lists!$B$51:$B$57,0)),"UNMATCHED")</f>
        <v>Female</v>
      </c>
      <c r="I228" s="32" t="str">
        <f aca="false">IF(Raw_Data!I234="","",Raw_Data!I234)</f>
        <v>18-29</v>
      </c>
      <c r="J228" s="32" t="str">
        <f aca="false">IFERROR(INDEX(Reference_Lists!$C$58:$C$65,MATCH(PROPER(TRIM(Raw_Data!J234)),Reference_Lists!$B$58:$B$65,0)),"UNMATCHED")</f>
        <v>Closed</v>
      </c>
      <c r="K228" s="30" t="n">
        <f aca="false">IF(Raw_Data!K234="","",IF(ISTEXT(Raw_Data!K234),IFERROR(DATE(VALUE(RIGHT(TRIM(Raw_Data!K234),4)),VALUE(MID(TRIM(Raw_Data!K234),4,2)),VALUE(LEFT(TRIM(Raw_Data!K234),2))),"CHECK"),Raw_Data!K234))</f>
        <v>46248</v>
      </c>
      <c r="L228" s="33" t="str">
        <f aca="false">IF(Raw_Data!L234="","",Raw_Data!L234)</f>
        <v>The queue at the water point is not organised and older people cannot wait.</v>
      </c>
      <c r="M228" s="34" t="n">
        <f aca="false">IF(OR(B228="",K228=""),"",IFERROR(K228-B228,"CHECK"))</f>
        <v>28</v>
      </c>
      <c r="N228" s="34" t="n">
        <f aca="false">IFERROR(INDEX(Reference_Lists!$H$13:$H$14,MATCH(G228,Reference_Lists!$G$13:$G$14,0)),"UNMATCHED")</f>
        <v>15</v>
      </c>
      <c r="O228" s="35" t="b">
        <f aca="false">IF(AND(J228="Closed",ISNUMBER(M228),ISNUMBER(N228),M228&gt;=0),M228&lt;=N228,"NOT ASSESSED")</f>
        <v>0</v>
      </c>
      <c r="P228" s="36" t="str">
        <f aca="false">Raw_Data!A234</f>
        <v>CFM-2026-0060</v>
      </c>
      <c r="Q228" s="37" t="str">
        <f aca="false">IFERROR(IF(OR($A228="",$P228=""),"MISSING ID",IF(EXACT($A228,$P228),"ALIGNED","MISMATCH")),"CHECK")</f>
        <v>ALIGNED</v>
      </c>
    </row>
    <row r="229" customFormat="false" ht="19.5" hidden="false" customHeight="true" outlineLevel="0" collapsed="false">
      <c r="A229" s="29" t="s">
        <v>347</v>
      </c>
      <c r="B229" s="30" t="n">
        <f aca="false">IF(Raw_Data!B235="","",IF(ISTEXT(Raw_Data!B235),IFERROR(DATE(VALUE(RIGHT(TRIM(Raw_Data!B235),4)),VALUE(MID(TRIM(Raw_Data!B235),4,2)),VALUE(LEFT(TRIM(Raw_Data!B235),2))),"CHECK"),Raw_Data!B235))</f>
        <v>46157</v>
      </c>
      <c r="C229" s="31" t="str">
        <f aca="false">IFERROR(INDEX(Reference_Lists!$C$23:$C$35,MATCH(PROPER(TRIM(Raw_Data!C235)),Reference_Lists!$B$23:$B$35,0)),"UNMATCHED")</f>
        <v>In-Person at Distribution</v>
      </c>
      <c r="D229" s="31" t="str">
        <f aca="false">IFERROR(INDEX(Reference_Lists!$C$36:$C$50,MATCH(PROPER(TRIM(Raw_Data!D235)),Reference_Lists!$B$36:$B$50,0)),"UNMATCHED")</f>
        <v>Khan Yunis</v>
      </c>
      <c r="E229" s="31" t="str">
        <f aca="false">IF(Raw_Data!E235="","",Raw_Data!E235)</f>
        <v>WASH</v>
      </c>
      <c r="F229" s="31" t="str">
        <f aca="false">IF(Raw_Data!F235="","",Raw_Data!F235)</f>
        <v>Sensitive Complaint</v>
      </c>
      <c r="G229" s="32" t="str">
        <f aca="false">IF(Raw_Data!G235="","",Raw_Data!G235)</f>
        <v>Sensitive</v>
      </c>
      <c r="H229" s="32" t="str">
        <f aca="false">IFERROR(INDEX(Reference_Lists!$C$51:$C$57,MATCH(PROPER(TRIM(Raw_Data!H235)),Reference_Lists!$B$51:$B$57,0)),"UNMATCHED")</f>
        <v>Female</v>
      </c>
      <c r="I229" s="32" t="str">
        <f aca="false">IF(Raw_Data!I235="","",Raw_Data!I235)</f>
        <v>18-29</v>
      </c>
      <c r="J229" s="32" t="str">
        <f aca="false">IFERROR(INDEX(Reference_Lists!$C$58:$C$65,MATCH(PROPER(TRIM(Raw_Data!J235)),Reference_Lists!$B$58:$B$65,0)),"UNMATCHED")</f>
        <v>In Progress</v>
      </c>
      <c r="K229" s="30" t="str">
        <f aca="false">IF(Raw_Data!K235="","",IF(ISTEXT(Raw_Data!K235),IFERROR(DATE(VALUE(RIGHT(TRIM(Raw_Data!K235),4)),VALUE(MID(TRIM(Raw_Data!K235),4,2)),VALUE(LEFT(TRIM(Raw_Data!K235),2))),"CHECK"),Raw_Data!K235))</f>
        <v/>
      </c>
      <c r="L229" s="33" t="str">
        <f aca="false">IF(Raw_Data!L235="","",Raw_Data!L235)</f>
        <v>Sensitive case - details recorded separately by the focal point; not stored in this tracker.</v>
      </c>
      <c r="M229" s="34" t="str">
        <f aca="false">IF(OR(B229="",K229=""),"",IFERROR(K229-B229,"CHECK"))</f>
        <v/>
      </c>
      <c r="N229" s="34" t="n">
        <f aca="false">IFERROR(INDEX(Reference_Lists!$H$13:$H$14,MATCH(G229,Reference_Lists!$G$13:$G$14,0)),"UNMATCHED")</f>
        <v>3</v>
      </c>
      <c r="O229" s="32" t="str">
        <f aca="false">IF(AND(J229="Closed",ISNUMBER(M229),ISNUMBER(N229),M229&gt;=0),M229&lt;=N229,"NOT ASSESSED")</f>
        <v>NOT ASSESSED</v>
      </c>
      <c r="P229" s="36" t="str">
        <f aca="false">Raw_Data!A235</f>
        <v>CFM-2026-0285</v>
      </c>
      <c r="Q229" s="37" t="str">
        <f aca="false">IFERROR(IF(OR($A229="",$P229=""),"MISSING ID",IF(EXACT($A229,$P229),"ALIGNED","MISMATCH")),"CHECK")</f>
        <v>ALIGNED</v>
      </c>
    </row>
    <row r="230" customFormat="false" ht="19.5" hidden="false" customHeight="true" outlineLevel="0" collapsed="false">
      <c r="A230" s="29" t="s">
        <v>348</v>
      </c>
      <c r="B230" s="30" t="n">
        <f aca="false">IF(Raw_Data!B236="","",IF(ISTEXT(Raw_Data!B236),IFERROR(DATE(VALUE(RIGHT(TRIM(Raw_Data!B236),4)),VALUE(MID(TRIM(Raw_Data!B236),4,2)),VALUE(LEFT(TRIM(Raw_Data!B236),2))),"CHECK"),Raw_Data!B236))</f>
        <v>46122</v>
      </c>
      <c r="C230" s="31" t="str">
        <f aca="false">IFERROR(INDEX(Reference_Lists!$C$23:$C$35,MATCH(PROPER(TRIM(Raw_Data!C236)),Reference_Lists!$B$23:$B$35,0)),"UNMATCHED")</f>
        <v>Help Desk</v>
      </c>
      <c r="D230" s="31" t="str">
        <f aca="false">IFERROR(INDEX(Reference_Lists!$C$36:$C$50,MATCH(PROPER(TRIM(Raw_Data!D236)),Reference_Lists!$B$36:$B$50,0)),"UNMATCHED")</f>
        <v>Khan Yunis</v>
      </c>
      <c r="E230" s="31" t="str">
        <f aca="false">IF(Raw_Data!E236="","",Raw_Data!E236)</f>
        <v>Health</v>
      </c>
      <c r="F230" s="31" t="str">
        <f aca="false">IF(Raw_Data!F236="","",Raw_Data!F236)</f>
        <v>Suggestion</v>
      </c>
      <c r="G230" s="32" t="str">
        <f aca="false">IF(Raw_Data!G236="","",Raw_Data!G236)</f>
        <v>Non-Sensitive</v>
      </c>
      <c r="H230" s="32" t="str">
        <f aca="false">IFERROR(INDEX(Reference_Lists!$C$51:$C$57,MATCH(PROPER(TRIM(Raw_Data!H236)),Reference_Lists!$B$51:$B$57,0)),"UNMATCHED")</f>
        <v>Female</v>
      </c>
      <c r="I230" s="32" t="str">
        <f aca="false">IF(Raw_Data!I236="","",Raw_Data!I236)</f>
        <v>45-59</v>
      </c>
      <c r="J230" s="32" t="str">
        <f aca="false">IFERROR(INDEX(Reference_Lists!$C$58:$C$65,MATCH(PROPER(TRIM(Raw_Data!J236)),Reference_Lists!$B$58:$B$65,0)),"UNMATCHED")</f>
        <v>Closed</v>
      </c>
      <c r="K230" s="30" t="n">
        <f aca="false">IF(Raw_Data!K236="","",IF(ISTEXT(Raw_Data!K236),IFERROR(DATE(VALUE(RIGHT(TRIM(Raw_Data!K236),4)),VALUE(MID(TRIM(Raw_Data!K236),4,2)),VALUE(LEFT(TRIM(Raw_Data!K236),2))),"CHECK"),Raw_Data!K236))</f>
        <v>46135</v>
      </c>
      <c r="L230" s="33" t="str">
        <f aca="false">IF(Raw_Data!L236="","",Raw_Data!L236)</f>
        <v>Clinic opening hours are not clear to the community.</v>
      </c>
      <c r="M230" s="34" t="n">
        <f aca="false">IF(OR(B230="",K230=""),"",IFERROR(K230-B230,"CHECK"))</f>
        <v>13</v>
      </c>
      <c r="N230" s="34" t="n">
        <f aca="false">IFERROR(INDEX(Reference_Lists!$H$13:$H$14,MATCH(G230,Reference_Lists!$G$13:$G$14,0)),"UNMATCHED")</f>
        <v>15</v>
      </c>
      <c r="O230" s="35" t="b">
        <f aca="false">IF(AND(J230="Closed",ISNUMBER(M230),ISNUMBER(N230),M230&gt;=0),M230&lt;=N230,"NOT ASSESSED")</f>
        <v>1</v>
      </c>
      <c r="P230" s="36" t="str">
        <f aca="false">Raw_Data!A236</f>
        <v>CFM-2026-0124</v>
      </c>
      <c r="Q230" s="37" t="str">
        <f aca="false">IFERROR(IF(OR($A230="",$P230=""),"MISSING ID",IF(EXACT($A230,$P230),"ALIGNED","MISMATCH")),"CHECK")</f>
        <v>ALIGNED</v>
      </c>
    </row>
    <row r="231" customFormat="false" ht="19.5" hidden="false" customHeight="true" outlineLevel="0" collapsed="false">
      <c r="A231" s="29" t="s">
        <v>349</v>
      </c>
      <c r="B231" s="30" t="n">
        <f aca="false">IF(Raw_Data!B237="","",IF(ISTEXT(Raw_Data!B237),IFERROR(DATE(VALUE(RIGHT(TRIM(Raw_Data!B237),4)),VALUE(MID(TRIM(Raw_Data!B237),4,2)),VALUE(LEFT(TRIM(Raw_Data!B237),2))),"CHECK"),Raw_Data!B237))</f>
        <v>46168</v>
      </c>
      <c r="C231" s="31" t="str">
        <f aca="false">IFERROR(INDEX(Reference_Lists!$C$23:$C$35,MATCH(PROPER(TRIM(Raw_Data!C237)),Reference_Lists!$B$23:$B$35,0)),"UNMATCHED")</f>
        <v>Suggestion Box</v>
      </c>
      <c r="D231" s="31" t="str">
        <f aca="false">IFERROR(INDEX(Reference_Lists!$C$36:$C$50,MATCH(PROPER(TRIM(Raw_Data!D237)),Reference_Lists!$B$36:$B$50,0)),"UNMATCHED")</f>
        <v>Nuseirat</v>
      </c>
      <c r="E231" s="31" t="str">
        <f aca="false">IF(Raw_Data!E237="","",Raw_Data!E237)</f>
        <v>Shelter</v>
      </c>
      <c r="F231" s="31" t="str">
        <f aca="false">IF(Raw_Data!F237="","",Raw_Data!F237)</f>
        <v>Complaint</v>
      </c>
      <c r="G231" s="32" t="str">
        <f aca="false">IF(Raw_Data!G237="","",Raw_Data!G237)</f>
        <v>Non-Sensitive</v>
      </c>
      <c r="H231" s="32" t="str">
        <f aca="false">IFERROR(INDEX(Reference_Lists!$C$51:$C$57,MATCH(PROPER(TRIM(Raw_Data!H237)),Reference_Lists!$B$51:$B$57,0)),"UNMATCHED")</f>
        <v>Male</v>
      </c>
      <c r="I231" s="32" t="str">
        <f aca="false">IF(Raw_Data!I237="","",Raw_Data!I237)</f>
        <v>18-29</v>
      </c>
      <c r="J231" s="32" t="str">
        <f aca="false">IFERROR(INDEX(Reference_Lists!$C$58:$C$65,MATCH(PROPER(TRIM(Raw_Data!J237)),Reference_Lists!$B$58:$B$65,0)),"UNMATCHED")</f>
        <v>Closed</v>
      </c>
      <c r="K231" s="30" t="n">
        <f aca="false">IF(Raw_Data!K237="","",IF(ISTEXT(Raw_Data!K237),IFERROR(DATE(VALUE(RIGHT(TRIM(Raw_Data!K237),4)),VALUE(MID(TRIM(Raw_Data!K237),4,2)),VALUE(LEFT(TRIM(Raw_Data!K237),2))),"CHECK"),Raw_Data!K237))</f>
        <v>46187</v>
      </c>
      <c r="L231" s="33" t="str">
        <f aca="false">IF(Raw_Data!L237="","",Raw_Data!L237)</f>
        <v>Requesting information about the criteria for shelter repair kits.</v>
      </c>
      <c r="M231" s="34" t="n">
        <f aca="false">IF(OR(B231="",K231=""),"",IFERROR(K231-B231,"CHECK"))</f>
        <v>19</v>
      </c>
      <c r="N231" s="34" t="n">
        <f aca="false">IFERROR(INDEX(Reference_Lists!$H$13:$H$14,MATCH(G231,Reference_Lists!$G$13:$G$14,0)),"UNMATCHED")</f>
        <v>15</v>
      </c>
      <c r="O231" s="35" t="b">
        <f aca="false">IF(AND(J231="Closed",ISNUMBER(M231),ISNUMBER(N231),M231&gt;=0),M231&lt;=N231,"NOT ASSESSED")</f>
        <v>0</v>
      </c>
      <c r="P231" s="36" t="str">
        <f aca="false">Raw_Data!A237</f>
        <v>CFM-2026-0203</v>
      </c>
      <c r="Q231" s="37" t="str">
        <f aca="false">IFERROR(IF(OR($A231="",$P231=""),"MISSING ID",IF(EXACT($A231,$P231),"ALIGNED","MISMATCH")),"CHECK")</f>
        <v>ALIGNED</v>
      </c>
    </row>
    <row r="232" customFormat="false" ht="19.5" hidden="false" customHeight="true" outlineLevel="0" collapsed="false">
      <c r="A232" s="29" t="s">
        <v>351</v>
      </c>
      <c r="B232" s="30" t="n">
        <f aca="false">IF(Raw_Data!B238="","",IF(ISTEXT(Raw_Data!B238),IFERROR(DATE(VALUE(RIGHT(TRIM(Raw_Data!B238),4)),VALUE(MID(TRIM(Raw_Data!B238),4,2)),VALUE(LEFT(TRIM(Raw_Data!B238),2))),"CHECK"),Raw_Data!B238))</f>
        <v>46167</v>
      </c>
      <c r="C232" s="31" t="str">
        <f aca="false">IFERROR(INDEX(Reference_Lists!$C$23:$C$35,MATCH(PROPER(TRIM(Raw_Data!C238)),Reference_Lists!$B$23:$B$35,0)),"UNMATCHED")</f>
        <v>Community Focal Point</v>
      </c>
      <c r="D232" s="31" t="str">
        <f aca="false">IFERROR(INDEX(Reference_Lists!$C$36:$C$50,MATCH(PROPER(TRIM(Raw_Data!D238)),Reference_Lists!$B$36:$B$50,0)),"UNMATCHED")</f>
        <v>Khan Yunis</v>
      </c>
      <c r="E232" s="31" t="str">
        <f aca="false">IF(Raw_Data!E238="","",Raw_Data!E238)</f>
        <v>Shelter</v>
      </c>
      <c r="F232" s="31" t="str">
        <f aca="false">IF(Raw_Data!F238="","",Raw_Data!F238)</f>
        <v>Complaint</v>
      </c>
      <c r="G232" s="32" t="str">
        <f aca="false">IF(Raw_Data!G238="","",Raw_Data!G238)</f>
        <v>Non-Sensitive</v>
      </c>
      <c r="H232" s="32" t="str">
        <f aca="false">IFERROR(INDEX(Reference_Lists!$C$51:$C$57,MATCH(PROPER(TRIM(Raw_Data!H238)),Reference_Lists!$B$51:$B$57,0)),"UNMATCHED")</f>
        <v>Female</v>
      </c>
      <c r="I232" s="32" t="str">
        <f aca="false">IF(Raw_Data!I238="","",Raw_Data!I238)</f>
        <v>30-44</v>
      </c>
      <c r="J232" s="32" t="str">
        <f aca="false">IFERROR(INDEX(Reference_Lists!$C$58:$C$65,MATCH(PROPER(TRIM(Raw_Data!J238)),Reference_Lists!$B$58:$B$65,0)),"UNMATCHED")</f>
        <v>Closed</v>
      </c>
      <c r="K232" s="30" t="n">
        <f aca="false">IF(Raw_Data!K238="","",IF(ISTEXT(Raw_Data!K238),IFERROR(DATE(VALUE(RIGHT(TRIM(Raw_Data!K238),4)),VALUE(MID(TRIM(Raw_Data!K238),4,2)),VALUE(LEFT(TRIM(Raw_Data!K238),2))),"CHECK"),Raw_Data!K238))</f>
        <v>46174</v>
      </c>
      <c r="L232" s="33" t="str">
        <f aca="false">IF(Raw_Data!L238="","",Raw_Data!L238)</f>
        <v>Shelter kit delivered on time and the team explained the use clearly.</v>
      </c>
      <c r="M232" s="34" t="n">
        <f aca="false">IF(OR(B232="",K232=""),"",IFERROR(K232-B232,"CHECK"))</f>
        <v>7</v>
      </c>
      <c r="N232" s="34" t="n">
        <f aca="false">IFERROR(INDEX(Reference_Lists!$H$13:$H$14,MATCH(G232,Reference_Lists!$G$13:$G$14,0)),"UNMATCHED")</f>
        <v>15</v>
      </c>
      <c r="O232" s="35" t="b">
        <f aca="false">IF(AND(J232="Closed",ISNUMBER(M232),ISNUMBER(N232),M232&gt;=0),M232&lt;=N232,"NOT ASSESSED")</f>
        <v>1</v>
      </c>
      <c r="P232" s="36" t="str">
        <f aca="false">Raw_Data!A238</f>
        <v>CFM-2026-0247</v>
      </c>
      <c r="Q232" s="37" t="str">
        <f aca="false">IFERROR(IF(OR($A232="",$P232=""),"MISSING ID",IF(EXACT($A232,$P232),"ALIGNED","MISMATCH")),"CHECK")</f>
        <v>ALIGNED</v>
      </c>
    </row>
    <row r="233" customFormat="false" ht="19.5" hidden="false" customHeight="true" outlineLevel="0" collapsed="false">
      <c r="A233" s="29" t="s">
        <v>352</v>
      </c>
      <c r="B233" s="30" t="n">
        <f aca="false">IF(Raw_Data!B239="","",IF(ISTEXT(Raw_Data!B239),IFERROR(DATE(VALUE(RIGHT(TRIM(Raw_Data!B239),4)),VALUE(MID(TRIM(Raw_Data!B239),4,2)),VALUE(LEFT(TRIM(Raw_Data!B239),2))),"CHECK"),Raw_Data!B239))</f>
        <v>46175</v>
      </c>
      <c r="C233" s="31" t="str">
        <f aca="false">IFERROR(INDEX(Reference_Lists!$C$23:$C$35,MATCH(PROPER(TRIM(Raw_Data!C239)),Reference_Lists!$B$23:$B$35,0)),"UNMATCHED")</f>
        <v>Suggestion Box</v>
      </c>
      <c r="D233" s="31" t="str">
        <f aca="false">IFERROR(INDEX(Reference_Lists!$C$36:$C$50,MATCH(PROPER(TRIM(Raw_Data!D239)),Reference_Lists!$B$36:$B$50,0)),"UNMATCHED")</f>
        <v>Gaza City</v>
      </c>
      <c r="E233" s="31" t="str">
        <f aca="false">IF(Raw_Data!E239="","",Raw_Data!E239)</f>
        <v>Shelter</v>
      </c>
      <c r="F233" s="31" t="str">
        <f aca="false">IF(Raw_Data!F239="","",Raw_Data!F239)</f>
        <v>Complaint</v>
      </c>
      <c r="G233" s="32" t="str">
        <f aca="false">IF(Raw_Data!G239="","",Raw_Data!G239)</f>
        <v>Non-Sensitive</v>
      </c>
      <c r="H233" s="32" t="str">
        <f aca="false">IFERROR(INDEX(Reference_Lists!$C$51:$C$57,MATCH(PROPER(TRIM(Raw_Data!H239)),Reference_Lists!$B$51:$B$57,0)),"UNMATCHED")</f>
        <v>Male</v>
      </c>
      <c r="I233" s="32" t="str">
        <f aca="false">IF(Raw_Data!I239="","",Raw_Data!I239)</f>
        <v>60+</v>
      </c>
      <c r="J233" s="32" t="str">
        <f aca="false">IFERROR(INDEX(Reference_Lists!$C$58:$C$65,MATCH(PROPER(TRIM(Raw_Data!J239)),Reference_Lists!$B$58:$B$65,0)),"UNMATCHED")</f>
        <v>In Progress</v>
      </c>
      <c r="K233" s="30" t="str">
        <f aca="false">IF(Raw_Data!K239="","",IF(ISTEXT(Raw_Data!K239),IFERROR(DATE(VALUE(RIGHT(TRIM(Raw_Data!K239),4)),VALUE(MID(TRIM(Raw_Data!K239),4,2)),VALUE(LEFT(TRIM(Raw_Data!K239),2))),"CHECK"),Raw_Data!K239))</f>
        <v/>
      </c>
      <c r="L233" s="33" t="str">
        <f aca="false">IF(Raw_Data!L239="","",Raw_Data!L239)</f>
        <v>Tarpaulin received is torn and does not cover the shelter area.</v>
      </c>
      <c r="M233" s="34" t="str">
        <f aca="false">IF(OR(B233="",K233=""),"",IFERROR(K233-B233,"CHECK"))</f>
        <v/>
      </c>
      <c r="N233" s="34" t="n">
        <f aca="false">IFERROR(INDEX(Reference_Lists!$H$13:$H$14,MATCH(G233,Reference_Lists!$G$13:$G$14,0)),"UNMATCHED")</f>
        <v>15</v>
      </c>
      <c r="O233" s="32" t="str">
        <f aca="false">IF(AND(J233="Closed",ISNUMBER(M233),ISNUMBER(N233),M233&gt;=0),M233&lt;=N233,"NOT ASSESSED")</f>
        <v>NOT ASSESSED</v>
      </c>
      <c r="P233" s="36" t="str">
        <f aca="false">Raw_Data!A239</f>
        <v>CFM-2026-0375</v>
      </c>
      <c r="Q233" s="37" t="str">
        <f aca="false">IFERROR(IF(OR($A233="",$P233=""),"MISSING ID",IF(EXACT($A233,$P233),"ALIGNED","MISMATCH")),"CHECK")</f>
        <v>ALIGNED</v>
      </c>
    </row>
    <row r="234" customFormat="false" ht="19.5" hidden="false" customHeight="true" outlineLevel="0" collapsed="false">
      <c r="A234" s="29" t="s">
        <v>353</v>
      </c>
      <c r="B234" s="30" t="n">
        <f aca="false">IF(Raw_Data!B240="","",IF(ISTEXT(Raw_Data!B240),IFERROR(DATE(VALUE(RIGHT(TRIM(Raw_Data!B240),4)),VALUE(MID(TRIM(Raw_Data!B240),4,2)),VALUE(LEFT(TRIM(Raw_Data!B240),2))),"CHECK"),Raw_Data!B240))</f>
        <v>46132</v>
      </c>
      <c r="C234" s="31" t="str">
        <f aca="false">IFERROR(INDEX(Reference_Lists!$C$23:$C$35,MATCH(PROPER(TRIM(Raw_Data!C240)),Reference_Lists!$B$23:$B$35,0)),"UNMATCHED")</f>
        <v>Help Desk</v>
      </c>
      <c r="D234" s="31" t="str">
        <f aca="false">IFERROR(INDEX(Reference_Lists!$C$36:$C$50,MATCH(PROPER(TRIM(Raw_Data!D240)),Reference_Lists!$B$36:$B$50,0)),"UNMATCHED")</f>
        <v>Jabalia</v>
      </c>
      <c r="E234" s="31" t="str">
        <f aca="false">IF(Raw_Data!E240="","",Raw_Data!E240)</f>
        <v>Nutrition</v>
      </c>
      <c r="F234" s="31" t="str">
        <f aca="false">IF(Raw_Data!F240="","",Raw_Data!F240)</f>
        <v>Appreciation</v>
      </c>
      <c r="G234" s="32" t="str">
        <f aca="false">IF(Raw_Data!G240="","",Raw_Data!G240)</f>
        <v>Non-Sensitive</v>
      </c>
      <c r="H234" s="32" t="str">
        <f aca="false">IFERROR(INDEX(Reference_Lists!$C$51:$C$57,MATCH(PROPER(TRIM(Raw_Data!H240)),Reference_Lists!$B$51:$B$57,0)),"UNMATCHED")</f>
        <v>Female</v>
      </c>
      <c r="I234" s="32" t="str">
        <f aca="false">IF(Raw_Data!I240="","",Raw_Data!I240)</f>
        <v>45-59</v>
      </c>
      <c r="J234" s="32" t="str">
        <f aca="false">IFERROR(INDEX(Reference_Lists!$C$58:$C$65,MATCH(PROPER(TRIM(Raw_Data!J240)),Reference_Lists!$B$58:$B$65,0)),"UNMATCHED")</f>
        <v>In Progress</v>
      </c>
      <c r="K234" s="30" t="str">
        <f aca="false">IF(Raw_Data!K240="","",IF(ISTEXT(Raw_Data!K240),IFERROR(DATE(VALUE(RIGHT(TRIM(Raw_Data!K240),4)),VALUE(MID(TRIM(Raw_Data!K240),4,2)),VALUE(LEFT(TRIM(Raw_Data!K240),2))),"CHECK"),Raw_Data!K240))</f>
        <v/>
      </c>
      <c r="L234" s="33" t="str">
        <f aca="false">IF(Raw_Data!L240="","",Raw_Data!L240)</f>
        <v>Supplement was received but the guidance sheet was in English only.</v>
      </c>
      <c r="M234" s="34" t="str">
        <f aca="false">IF(OR(B234="",K234=""),"",IFERROR(K234-B234,"CHECK"))</f>
        <v/>
      </c>
      <c r="N234" s="34" t="n">
        <f aca="false">IFERROR(INDEX(Reference_Lists!$H$13:$H$14,MATCH(G234,Reference_Lists!$G$13:$G$14,0)),"UNMATCHED")</f>
        <v>15</v>
      </c>
      <c r="O234" s="32" t="str">
        <f aca="false">IF(AND(J234="Closed",ISNUMBER(M234),ISNUMBER(N234),M234&gt;=0),M234&lt;=N234,"NOT ASSESSED")</f>
        <v>NOT ASSESSED</v>
      </c>
      <c r="P234" s="36" t="str">
        <f aca="false">Raw_Data!A240</f>
        <v>CFM-2026-0216</v>
      </c>
      <c r="Q234" s="37" t="str">
        <f aca="false">IFERROR(IF(OR($A234="",$P234=""),"MISSING ID",IF(EXACT($A234,$P234),"ALIGNED","MISMATCH")),"CHECK")</f>
        <v>ALIGNED</v>
      </c>
    </row>
    <row r="235" customFormat="false" ht="19.5" hidden="false" customHeight="true" outlineLevel="0" collapsed="false">
      <c r="A235" s="29" t="s">
        <v>354</v>
      </c>
      <c r="B235" s="30" t="n">
        <f aca="false">IF(Raw_Data!B241="","",IF(ISTEXT(Raw_Data!B241),IFERROR(DATE(VALUE(RIGHT(TRIM(Raw_Data!B241),4)),VALUE(MID(TRIM(Raw_Data!B241),4,2)),VALUE(LEFT(TRIM(Raw_Data!B241),2))),"CHECK"),Raw_Data!B241))</f>
        <v>46170</v>
      </c>
      <c r="C235" s="31" t="str">
        <f aca="false">IFERROR(INDEX(Reference_Lists!$C$23:$C$35,MATCH(PROPER(TRIM(Raw_Data!C241)),Reference_Lists!$B$23:$B$35,0)),"UNMATCHED")</f>
        <v>Community Focal Point</v>
      </c>
      <c r="D235" s="31" t="str">
        <f aca="false">IFERROR(INDEX(Reference_Lists!$C$36:$C$50,MATCH(PROPER(TRIM(Raw_Data!D241)),Reference_Lists!$B$36:$B$50,0)),"UNMATCHED")</f>
        <v>Jabalia</v>
      </c>
      <c r="E235" s="31" t="str">
        <f aca="false">IF(Raw_Data!E241="","",Raw_Data!E241)</f>
        <v>Shelter</v>
      </c>
      <c r="F235" s="31" t="str">
        <f aca="false">IF(Raw_Data!F241="","",Raw_Data!F241)</f>
        <v>Complaint</v>
      </c>
      <c r="G235" s="32" t="str">
        <f aca="false">IF(Raw_Data!G241="","",Raw_Data!G241)</f>
        <v>Non-Sensitive</v>
      </c>
      <c r="H235" s="32" t="str">
        <f aca="false">IFERROR(INDEX(Reference_Lists!$C$51:$C$57,MATCH(PROPER(TRIM(Raw_Data!H241)),Reference_Lists!$B$51:$B$57,0)),"UNMATCHED")</f>
        <v>Female</v>
      </c>
      <c r="I235" s="32" t="str">
        <f aca="false">IF(Raw_Data!I241="","",Raw_Data!I241)</f>
        <v>18-29</v>
      </c>
      <c r="J235" s="32" t="str">
        <f aca="false">IFERROR(INDEX(Reference_Lists!$C$58:$C$65,MATCH(PROPER(TRIM(Raw_Data!J241)),Reference_Lists!$B$58:$B$65,0)),"UNMATCHED")</f>
        <v>Open</v>
      </c>
      <c r="K235" s="30" t="str">
        <f aca="false">IF(Raw_Data!K241="","",IF(ISTEXT(Raw_Data!K241),IFERROR(DATE(VALUE(RIGHT(TRIM(Raw_Data!K241),4)),VALUE(MID(TRIM(Raw_Data!K241),4,2)),VALUE(LEFT(TRIM(Raw_Data!K241),2))),"CHECK"),Raw_Data!K241))</f>
        <v/>
      </c>
      <c r="L235" s="33" t="str">
        <f aca="false">IF(Raw_Data!L241="","",Raw_Data!L241)</f>
        <v>Shelter kit delivered on time and the team explained the use clearly.</v>
      </c>
      <c r="M235" s="34" t="str">
        <f aca="false">IF(OR(B235="",K235=""),"",IFERROR(K235-B235,"CHECK"))</f>
        <v/>
      </c>
      <c r="N235" s="34" t="n">
        <f aca="false">IFERROR(INDEX(Reference_Lists!$H$13:$H$14,MATCH(G235,Reference_Lists!$G$13:$G$14,0)),"UNMATCHED")</f>
        <v>15</v>
      </c>
      <c r="O235" s="32" t="str">
        <f aca="false">IF(AND(J235="Closed",ISNUMBER(M235),ISNUMBER(N235),M235&gt;=0),M235&lt;=N235,"NOT ASSESSED")</f>
        <v>NOT ASSESSED</v>
      </c>
      <c r="P235" s="36" t="str">
        <f aca="false">Raw_Data!A241</f>
        <v>CFM-2026-0274</v>
      </c>
      <c r="Q235" s="37" t="str">
        <f aca="false">IFERROR(IF(OR($A235="",$P235=""),"MISSING ID",IF(EXACT($A235,$P235),"ALIGNED","MISMATCH")),"CHECK")</f>
        <v>ALIGNED</v>
      </c>
    </row>
    <row r="236" customFormat="false" ht="19.5" hidden="false" customHeight="true" outlineLevel="0" collapsed="false">
      <c r="A236" s="29" t="s">
        <v>355</v>
      </c>
      <c r="B236" s="30" t="n">
        <f aca="false">IF(Raw_Data!B242="","",IF(ISTEXT(Raw_Data!B242),IFERROR(DATE(VALUE(RIGHT(TRIM(Raw_Data!B242),4)),VALUE(MID(TRIM(Raw_Data!B242),4,2)),VALUE(LEFT(TRIM(Raw_Data!B242),2))),"CHECK"),Raw_Data!B242))</f>
        <v>46046</v>
      </c>
      <c r="C236" s="31" t="str">
        <f aca="false">IFERROR(INDEX(Reference_Lists!$C$23:$C$35,MATCH(PROPER(TRIM(Raw_Data!C242)),Reference_Lists!$B$23:$B$35,0)),"UNMATCHED")</f>
        <v>Suggestion Box</v>
      </c>
      <c r="D236" s="31" t="str">
        <f aca="false">IFERROR(INDEX(Reference_Lists!$C$36:$C$50,MATCH(PROPER(TRIM(Raw_Data!D242)),Reference_Lists!$B$36:$B$50,0)),"UNMATCHED")</f>
        <v>Khan Yunis</v>
      </c>
      <c r="E236" s="31" t="str">
        <f aca="false">IF(Raw_Data!E242="","",Raw_Data!E242)</f>
        <v>Nutrition</v>
      </c>
      <c r="F236" s="31" t="str">
        <f aca="false">IF(Raw_Data!F242="","",Raw_Data!F242)</f>
        <v>Complaint</v>
      </c>
      <c r="G236" s="32" t="str">
        <f aca="false">IF(Raw_Data!G242="","",Raw_Data!G242)</f>
        <v>Non-Sensitive</v>
      </c>
      <c r="H236" s="32" t="str">
        <f aca="false">IFERROR(INDEX(Reference_Lists!$C$51:$C$57,MATCH(PROPER(TRIM(Raw_Data!H242)),Reference_Lists!$B$51:$B$57,0)),"UNMATCHED")</f>
        <v>Male</v>
      </c>
      <c r="I236" s="32" t="str">
        <f aca="false">IF(Raw_Data!I242="","",Raw_Data!I242)</f>
        <v>60+</v>
      </c>
      <c r="J236" s="32" t="str">
        <f aca="false">IFERROR(INDEX(Reference_Lists!$C$58:$C$65,MATCH(PROPER(TRIM(Raw_Data!J242)),Reference_Lists!$B$58:$B$65,0)),"UNMATCHED")</f>
        <v>Closed</v>
      </c>
      <c r="K236" s="30" t="n">
        <f aca="false">IF(Raw_Data!K242="","",IF(ISTEXT(Raw_Data!K242),IFERROR(DATE(VALUE(RIGHT(TRIM(Raw_Data!K242),4)),VALUE(MID(TRIM(Raw_Data!K242),4,2)),VALUE(LEFT(TRIM(Raw_Data!K242),2))),"CHECK"),Raw_Data!K242))</f>
        <v>46064</v>
      </c>
      <c r="L236" s="33" t="str">
        <f aca="false">IF(Raw_Data!L242="","",Raw_Data!L242)</f>
        <v/>
      </c>
      <c r="M236" s="34" t="n">
        <f aca="false">IF(OR(B236="",K236=""),"",IFERROR(K236-B236,"CHECK"))</f>
        <v>18</v>
      </c>
      <c r="N236" s="34" t="n">
        <f aca="false">IFERROR(INDEX(Reference_Lists!$H$13:$H$14,MATCH(G236,Reference_Lists!$G$13:$G$14,0)),"UNMATCHED")</f>
        <v>15</v>
      </c>
      <c r="O236" s="35" t="b">
        <f aca="false">IF(AND(J236="Closed",ISNUMBER(M236),ISNUMBER(N236),M236&gt;=0),M236&lt;=N236,"NOT ASSESSED")</f>
        <v>0</v>
      </c>
      <c r="P236" s="36" t="str">
        <f aca="false">Raw_Data!A242</f>
        <v>CFM-2026-0100</v>
      </c>
      <c r="Q236" s="37" t="str">
        <f aca="false">IFERROR(IF(OR($A236="",$P236=""),"MISSING ID",IF(EXACT($A236,$P236),"ALIGNED","MISMATCH")),"CHECK")</f>
        <v>ALIGNED</v>
      </c>
    </row>
    <row r="237" customFormat="false" ht="19.5" hidden="false" customHeight="true" outlineLevel="0" collapsed="false">
      <c r="A237" s="29" t="s">
        <v>356</v>
      </c>
      <c r="B237" s="30" t="n">
        <f aca="false">IF(Raw_Data!B243="","",IF(ISTEXT(Raw_Data!B243),IFERROR(DATE(VALUE(RIGHT(TRIM(Raw_Data!B243),4)),VALUE(MID(TRIM(Raw_Data!B243),4,2)),VALUE(LEFT(TRIM(Raw_Data!B243),2))),"CHECK"),Raw_Data!B243))</f>
        <v>46176</v>
      </c>
      <c r="C237" s="31" t="str">
        <f aca="false">IFERROR(INDEX(Reference_Lists!$C$23:$C$35,MATCH(PROPER(TRIM(Raw_Data!C243)),Reference_Lists!$B$23:$B$35,0)),"UNMATCHED")</f>
        <v>Phone Hotline</v>
      </c>
      <c r="D237" s="31" t="str">
        <f aca="false">IFERROR(INDEX(Reference_Lists!$C$36:$C$50,MATCH(PROPER(TRIM(Raw_Data!D243)),Reference_Lists!$B$36:$B$50,0)),"UNMATCHED")</f>
        <v>Jabalia</v>
      </c>
      <c r="E237" s="31" t="str">
        <f aca="false">IF(Raw_Data!E243="","",Raw_Data!E243)</f>
        <v>WASH</v>
      </c>
      <c r="F237" s="31" t="str">
        <f aca="false">IF(Raw_Data!F243="","",Raw_Data!F243)</f>
        <v>Request for Information</v>
      </c>
      <c r="G237" s="32" t="str">
        <f aca="false">IF(Raw_Data!G243="","",Raw_Data!G243)</f>
        <v>Non-Sensitive</v>
      </c>
      <c r="H237" s="32" t="str">
        <f aca="false">IFERROR(INDEX(Reference_Lists!$C$51:$C$57,MATCH(PROPER(TRIM(Raw_Data!H243)),Reference_Lists!$B$51:$B$57,0)),"UNMATCHED")</f>
        <v>Male</v>
      </c>
      <c r="I237" s="32" t="str">
        <f aca="false">IF(Raw_Data!I243="","",Raw_Data!I243)</f>
        <v>18-29</v>
      </c>
      <c r="J237" s="32" t="str">
        <f aca="false">IFERROR(INDEX(Reference_Lists!$C$58:$C$65,MATCH(PROPER(TRIM(Raw_Data!J243)),Reference_Lists!$B$58:$B$65,0)),"UNMATCHED")</f>
        <v>Open</v>
      </c>
      <c r="K237" s="30" t="str">
        <f aca="false">IF(Raw_Data!K243="","",IF(ISTEXT(Raw_Data!K243),IFERROR(DATE(VALUE(RIGHT(TRIM(Raw_Data!K243),4)),VALUE(MID(TRIM(Raw_Data!K243),4,2)),VALUE(LEFT(TRIM(Raw_Data!K243),2))),"CHECK"),Raw_Data!K243))</f>
        <v/>
      </c>
      <c r="L237" s="33" t="str">
        <f aca="false">IF(Raw_Data!L243="","",Raw_Data!L243)</f>
        <v>The queue at the water point is not organised and older people cannot wait.</v>
      </c>
      <c r="M237" s="34" t="str">
        <f aca="false">IF(OR(B237="",K237=""),"",IFERROR(K237-B237,"CHECK"))</f>
        <v/>
      </c>
      <c r="N237" s="34" t="n">
        <f aca="false">IFERROR(INDEX(Reference_Lists!$H$13:$H$14,MATCH(G237,Reference_Lists!$G$13:$G$14,0)),"UNMATCHED")</f>
        <v>15</v>
      </c>
      <c r="O237" s="32" t="str">
        <f aca="false">IF(AND(J237="Closed",ISNUMBER(M237),ISNUMBER(N237),M237&gt;=0),M237&lt;=N237,"NOT ASSESSED")</f>
        <v>NOT ASSESSED</v>
      </c>
      <c r="P237" s="36" t="str">
        <f aca="false">Raw_Data!A243</f>
        <v>CFM-2026-0402</v>
      </c>
      <c r="Q237" s="37" t="str">
        <f aca="false">IFERROR(IF(OR($A237="",$P237=""),"MISSING ID",IF(EXACT($A237,$P237),"ALIGNED","MISMATCH")),"CHECK")</f>
        <v>ALIGNED</v>
      </c>
    </row>
    <row r="238" customFormat="false" ht="19.5" hidden="false" customHeight="true" outlineLevel="0" collapsed="false">
      <c r="A238" s="29" t="s">
        <v>357</v>
      </c>
      <c r="B238" s="30" t="n">
        <f aca="false">IF(Raw_Data!B244="","",IF(ISTEXT(Raw_Data!B244),IFERROR(DATE(VALUE(RIGHT(TRIM(Raw_Data!B244),4)),VALUE(MID(TRIM(Raw_Data!B244),4,2)),VALUE(LEFT(TRIM(Raw_Data!B244),2))),"CHECK"),Raw_Data!B244))</f>
        <v>46172</v>
      </c>
      <c r="C238" s="31" t="str">
        <f aca="false">IFERROR(INDEX(Reference_Lists!$C$23:$C$35,MATCH(PROPER(TRIM(Raw_Data!C244)),Reference_Lists!$B$23:$B$35,0)),"UNMATCHED")</f>
        <v>Help Desk</v>
      </c>
      <c r="D238" s="31" t="str">
        <f aca="false">IFERROR(INDEX(Reference_Lists!$C$36:$C$50,MATCH(PROPER(TRIM(Raw_Data!D244)),Reference_Lists!$B$36:$B$50,0)),"UNMATCHED")</f>
        <v>Deir al-Balah</v>
      </c>
      <c r="E238" s="31" t="str">
        <f aca="false">IF(Raw_Data!E244="","",Raw_Data!E244)</f>
        <v>Health</v>
      </c>
      <c r="F238" s="31" t="str">
        <f aca="false">IF(Raw_Data!F244="","",Raw_Data!F244)</f>
        <v>Suggestion</v>
      </c>
      <c r="G238" s="32" t="str">
        <f aca="false">IF(Raw_Data!G244="","",Raw_Data!G244)</f>
        <v>Non-Sensitive</v>
      </c>
      <c r="H238" s="32" t="str">
        <f aca="false">IFERROR(INDEX(Reference_Lists!$C$51:$C$57,MATCH(PROPER(TRIM(Raw_Data!H244)),Reference_Lists!$B$51:$B$57,0)),"UNMATCHED")</f>
        <v>Male</v>
      </c>
      <c r="I238" s="32" t="str">
        <f aca="false">IF(Raw_Data!I244="","",Raw_Data!I244)</f>
        <v>30-44</v>
      </c>
      <c r="J238" s="32" t="str">
        <f aca="false">IFERROR(INDEX(Reference_Lists!$C$58:$C$65,MATCH(PROPER(TRIM(Raw_Data!J244)),Reference_Lists!$B$58:$B$65,0)),"UNMATCHED")</f>
        <v>Open</v>
      </c>
      <c r="K238" s="30" t="str">
        <f aca="false">IF(Raw_Data!K244="","",IF(ISTEXT(Raw_Data!K244),IFERROR(DATE(VALUE(RIGHT(TRIM(Raw_Data!K244),4)),VALUE(MID(TRIM(Raw_Data!K244),4,2)),VALUE(LEFT(TRIM(Raw_Data!K244),2))),"CHECK"),Raw_Data!K244))</f>
        <v/>
      </c>
      <c r="L238" s="33" t="str">
        <f aca="false">IF(Raw_Data!L244="","",Raw_Data!L244)</f>
        <v>Clinic opening hours are not clear to the community.</v>
      </c>
      <c r="M238" s="34" t="str">
        <f aca="false">IF(OR(B238="",K238=""),"",IFERROR(K238-B238,"CHECK"))</f>
        <v/>
      </c>
      <c r="N238" s="34" t="n">
        <f aca="false">IFERROR(INDEX(Reference_Lists!$H$13:$H$14,MATCH(G238,Reference_Lists!$G$13:$G$14,0)),"UNMATCHED")</f>
        <v>15</v>
      </c>
      <c r="O238" s="32" t="str">
        <f aca="false">IF(AND(J238="Closed",ISNUMBER(M238),ISNUMBER(N238),M238&gt;=0),M238&lt;=N238,"NOT ASSESSED")</f>
        <v>NOT ASSESSED</v>
      </c>
      <c r="P238" s="36" t="str">
        <f aca="false">Raw_Data!A244</f>
        <v>CFM-2026-0479</v>
      </c>
      <c r="Q238" s="37" t="str">
        <f aca="false">IFERROR(IF(OR($A238="",$P238=""),"MISSING ID",IF(EXACT($A238,$P238),"ALIGNED","MISMATCH")),"CHECK")</f>
        <v>ALIGNED</v>
      </c>
    </row>
    <row r="239" customFormat="false" ht="19.5" hidden="false" customHeight="true" outlineLevel="0" collapsed="false">
      <c r="A239" s="29" t="s">
        <v>358</v>
      </c>
      <c r="B239" s="30" t="n">
        <f aca="false">IF(Raw_Data!B245="","",IF(ISTEXT(Raw_Data!B245),IFERROR(DATE(VALUE(RIGHT(TRIM(Raw_Data!B245),4)),VALUE(MID(TRIM(Raw_Data!B245),4,2)),VALUE(LEFT(TRIM(Raw_Data!B245),2))),"CHECK"),Raw_Data!B245))</f>
        <v>46180</v>
      </c>
      <c r="C239" s="31" t="str">
        <f aca="false">IFERROR(INDEX(Reference_Lists!$C$23:$C$35,MATCH(PROPER(TRIM(Raw_Data!C245)),Reference_Lists!$B$23:$B$35,0)),"UNMATCHED")</f>
        <v>Suggestion Box</v>
      </c>
      <c r="D239" s="31" t="str">
        <f aca="false">IFERROR(INDEX(Reference_Lists!$C$36:$C$50,MATCH(PROPER(TRIM(Raw_Data!D245)),Reference_Lists!$B$36:$B$50,0)),"UNMATCHED")</f>
        <v>Rafah</v>
      </c>
      <c r="E239" s="31" t="str">
        <f aca="false">IF(Raw_Data!E245="","",Raw_Data!E245)</f>
        <v>Nutrition</v>
      </c>
      <c r="F239" s="31" t="str">
        <f aca="false">IF(Raw_Data!F245="","",Raw_Data!F245)</f>
        <v>Complaint</v>
      </c>
      <c r="G239" s="32" t="str">
        <f aca="false">IF(Raw_Data!G245="","",Raw_Data!G245)</f>
        <v>Non-Sensitive</v>
      </c>
      <c r="H239" s="32" t="str">
        <f aca="false">IFERROR(INDEX(Reference_Lists!$C$51:$C$57,MATCH(PROPER(TRIM(Raw_Data!H245)),Reference_Lists!$B$51:$B$57,0)),"UNMATCHED")</f>
        <v>Male</v>
      </c>
      <c r="I239" s="32" t="str">
        <f aca="false">IF(Raw_Data!I245="","",Raw_Data!I245)</f>
        <v>18-29</v>
      </c>
      <c r="J239" s="32" t="str">
        <f aca="false">IFERROR(INDEX(Reference_Lists!$C$58:$C$65,MATCH(PROPER(TRIM(Raw_Data!J245)),Reference_Lists!$B$58:$B$65,0)),"UNMATCHED")</f>
        <v>Closed</v>
      </c>
      <c r="K239" s="30" t="n">
        <f aca="false">IF(Raw_Data!K245="","",IF(ISTEXT(Raw_Data!K245),IFERROR(DATE(VALUE(RIGHT(TRIM(Raw_Data!K245),4)),VALUE(MID(TRIM(Raw_Data!K245),4,2)),VALUE(LEFT(TRIM(Raw_Data!K245),2))),"CHECK"),Raw_Data!K245))</f>
        <v>46193</v>
      </c>
      <c r="L239" s="33" t="str">
        <f aca="false">IF(Raw_Data!L245="","",Raw_Data!L245)</f>
        <v>Asking whether children above five are included in the screening.</v>
      </c>
      <c r="M239" s="34" t="n">
        <f aca="false">IF(OR(B239="",K239=""),"",IFERROR(K239-B239,"CHECK"))</f>
        <v>13</v>
      </c>
      <c r="N239" s="34" t="n">
        <f aca="false">IFERROR(INDEX(Reference_Lists!$H$13:$H$14,MATCH(G239,Reference_Lists!$G$13:$G$14,0)),"UNMATCHED")</f>
        <v>15</v>
      </c>
      <c r="O239" s="35" t="b">
        <f aca="false">IF(AND(J239="Closed",ISNUMBER(M239),ISNUMBER(N239),M239&gt;=0),M239&lt;=N239,"NOT ASSESSED")</f>
        <v>1</v>
      </c>
      <c r="P239" s="36" t="str">
        <f aca="false">Raw_Data!A245</f>
        <v>CFM-2026-0023</v>
      </c>
      <c r="Q239" s="37" t="str">
        <f aca="false">IFERROR(IF(OR($A239="",$P239=""),"MISSING ID",IF(EXACT($A239,$P239),"ALIGNED","MISMATCH")),"CHECK")</f>
        <v>ALIGNED</v>
      </c>
    </row>
    <row r="240" customFormat="false" ht="19.5" hidden="false" customHeight="true" outlineLevel="0" collapsed="false">
      <c r="A240" s="29" t="s">
        <v>359</v>
      </c>
      <c r="B240" s="30" t="n">
        <f aca="false">IF(Raw_Data!B246="","",IF(ISTEXT(Raw_Data!B246),IFERROR(DATE(VALUE(RIGHT(TRIM(Raw_Data!B246),4)),VALUE(MID(TRIM(Raw_Data!B246),4,2)),VALUE(LEFT(TRIM(Raw_Data!B246),2))),"CHECK"),Raw_Data!B246))</f>
        <v>46146</v>
      </c>
      <c r="C240" s="31" t="str">
        <f aca="false">IFERROR(INDEX(Reference_Lists!$C$23:$C$35,MATCH(PROPER(TRIM(Raw_Data!C246)),Reference_Lists!$B$23:$B$35,0)),"UNMATCHED")</f>
        <v>Community Focal Point</v>
      </c>
      <c r="D240" s="31" t="str">
        <f aca="false">IFERROR(INDEX(Reference_Lists!$C$36:$C$50,MATCH(PROPER(TRIM(Raw_Data!D246)),Reference_Lists!$B$36:$B$50,0)),"UNMATCHED")</f>
        <v>Gaza City</v>
      </c>
      <c r="E240" s="31" t="str">
        <f aca="false">IF(Raw_Data!E246="","",Raw_Data!E246)</f>
        <v>Shelter</v>
      </c>
      <c r="F240" s="31" t="str">
        <f aca="false">IF(Raw_Data!F246="","",Raw_Data!F246)</f>
        <v>Request for Information</v>
      </c>
      <c r="G240" s="32" t="str">
        <f aca="false">IF(Raw_Data!G246="","",Raw_Data!G246)</f>
        <v>Non-Sensitive</v>
      </c>
      <c r="H240" s="32" t="str">
        <f aca="false">IFERROR(INDEX(Reference_Lists!$C$51:$C$57,MATCH(PROPER(TRIM(Raw_Data!H246)),Reference_Lists!$B$51:$B$57,0)),"UNMATCHED")</f>
        <v>Male</v>
      </c>
      <c r="I240" s="32" t="str">
        <f aca="false">IF(Raw_Data!I246="","",Raw_Data!I246)</f>
        <v>45-59</v>
      </c>
      <c r="J240" s="32" t="str">
        <f aca="false">IFERROR(INDEX(Reference_Lists!$C$58:$C$65,MATCH(PROPER(TRIM(Raw_Data!J246)),Reference_Lists!$B$58:$B$65,0)),"UNMATCHED")</f>
        <v>Open</v>
      </c>
      <c r="K240" s="30" t="str">
        <f aca="false">IF(Raw_Data!K246="","",IF(ISTEXT(Raw_Data!K246),IFERROR(DATE(VALUE(RIGHT(TRIM(Raw_Data!K246),4)),VALUE(MID(TRIM(Raw_Data!K246),4,2)),VALUE(LEFT(TRIM(Raw_Data!K246),2))),"CHECK"),Raw_Data!K246))</f>
        <v/>
      </c>
      <c r="L240" s="33" t="str">
        <f aca="false">IF(Raw_Data!L246="","",Raw_Data!L246)</f>
        <v>Requesting information about the criteria for shelter repair kits.</v>
      </c>
      <c r="M240" s="34" t="str">
        <f aca="false">IF(OR(B240="",K240=""),"",IFERROR(K240-B240,"CHECK"))</f>
        <v/>
      </c>
      <c r="N240" s="34" t="n">
        <f aca="false">IFERROR(INDEX(Reference_Lists!$H$13:$H$14,MATCH(G240,Reference_Lists!$G$13:$G$14,0)),"UNMATCHED")</f>
        <v>15</v>
      </c>
      <c r="O240" s="32" t="str">
        <f aca="false">IF(AND(J240="Closed",ISNUMBER(M240),ISNUMBER(N240),M240&gt;=0),M240&lt;=N240,"NOT ASSESSED")</f>
        <v>NOT ASSESSED</v>
      </c>
      <c r="P240" s="36" t="str">
        <f aca="false">Raw_Data!A246</f>
        <v>CFM-2026-0423</v>
      </c>
      <c r="Q240" s="37" t="str">
        <f aca="false">IFERROR(IF(OR($A240="",$P240=""),"MISSING ID",IF(EXACT($A240,$P240),"ALIGNED","MISMATCH")),"CHECK")</f>
        <v>ALIGNED</v>
      </c>
    </row>
    <row r="241" customFormat="false" ht="19.5" hidden="false" customHeight="true" outlineLevel="0" collapsed="false">
      <c r="A241" s="29" t="s">
        <v>361</v>
      </c>
      <c r="B241" s="30" t="n">
        <f aca="false">IF(Raw_Data!B247="","",IF(ISTEXT(Raw_Data!B247),IFERROR(DATE(VALUE(RIGHT(TRIM(Raw_Data!B247),4)),VALUE(MID(TRIM(Raw_Data!B247),4,2)),VALUE(LEFT(TRIM(Raw_Data!B247),2))),"CHECK"),Raw_Data!B247))</f>
        <v>46068</v>
      </c>
      <c r="C241" s="31" t="str">
        <f aca="false">IFERROR(INDEX(Reference_Lists!$C$23:$C$35,MATCH(PROPER(TRIM(Raw_Data!C247)),Reference_Lists!$B$23:$B$35,0)),"UNMATCHED")</f>
        <v>Community Focal Point</v>
      </c>
      <c r="D241" s="31" t="str">
        <f aca="false">IFERROR(INDEX(Reference_Lists!$C$36:$C$50,MATCH(PROPER(TRIM(Raw_Data!D247)),Reference_Lists!$B$36:$B$50,0)),"UNMATCHED")</f>
        <v>Rafah</v>
      </c>
      <c r="E241" s="31" t="str">
        <f aca="false">IF(Raw_Data!E247="","",Raw_Data!E247)</f>
        <v>Health</v>
      </c>
      <c r="F241" s="31" t="str">
        <f aca="false">IF(Raw_Data!F247="","",Raw_Data!F247)</f>
        <v>Complaint</v>
      </c>
      <c r="G241" s="32" t="str">
        <f aca="false">IF(Raw_Data!G247="","",Raw_Data!G247)</f>
        <v>Non-Sensitive</v>
      </c>
      <c r="H241" s="32" t="str">
        <f aca="false">IFERROR(INDEX(Reference_Lists!$C$51:$C$57,MATCH(PROPER(TRIM(Raw_Data!H247)),Reference_Lists!$B$51:$B$57,0)),"UNMATCHED")</f>
        <v>Male</v>
      </c>
      <c r="I241" s="32" t="str">
        <f aca="false">IF(Raw_Data!I247="","",Raw_Data!I247)</f>
        <v>45-59</v>
      </c>
      <c r="J241" s="32" t="str">
        <f aca="false">IFERROR(INDEX(Reference_Lists!$C$58:$C$65,MATCH(PROPER(TRIM(Raw_Data!J247)),Reference_Lists!$B$58:$B$65,0)),"UNMATCHED")</f>
        <v>Open</v>
      </c>
      <c r="K241" s="30" t="str">
        <f aca="false">IF(Raw_Data!K247="","",IF(ISTEXT(Raw_Data!K247),IFERROR(DATE(VALUE(RIGHT(TRIM(Raw_Data!K247),4)),VALUE(MID(TRIM(Raw_Data!K247),4,2)),VALUE(LEFT(TRIM(Raw_Data!K247),2))),"CHECK"),Raw_Data!K247))</f>
        <v/>
      </c>
      <c r="L241" s="33" t="str">
        <f aca="false">IF(Raw_Data!L247="","",Raw_Data!L247)</f>
        <v>Clinic opening hours are not clear to the community.</v>
      </c>
      <c r="M241" s="34" t="str">
        <f aca="false">IF(OR(B241="",K241=""),"",IFERROR(K241-B241,"CHECK"))</f>
        <v/>
      </c>
      <c r="N241" s="34" t="n">
        <f aca="false">IFERROR(INDEX(Reference_Lists!$H$13:$H$14,MATCH(G241,Reference_Lists!$G$13:$G$14,0)),"UNMATCHED")</f>
        <v>15</v>
      </c>
      <c r="O241" s="32" t="str">
        <f aca="false">IF(AND(J241="Closed",ISNUMBER(M241),ISNUMBER(N241),M241&gt;=0),M241&lt;=N241,"NOT ASSESSED")</f>
        <v>NOT ASSESSED</v>
      </c>
      <c r="P241" s="36" t="str">
        <f aca="false">Raw_Data!A247</f>
        <v>CFM-2026-0095</v>
      </c>
      <c r="Q241" s="37" t="str">
        <f aca="false">IFERROR(IF(OR($A241="",$P241=""),"MISSING ID",IF(EXACT($A241,$P241),"ALIGNED","MISMATCH")),"CHECK")</f>
        <v>ALIGNED</v>
      </c>
    </row>
    <row r="242" customFormat="false" ht="19.5" hidden="false" customHeight="true" outlineLevel="0" collapsed="false">
      <c r="A242" s="29" t="s">
        <v>362</v>
      </c>
      <c r="B242" s="30" t="n">
        <f aca="false">IF(Raw_Data!B248="","",IF(ISTEXT(Raw_Data!B248),IFERROR(DATE(VALUE(RIGHT(TRIM(Raw_Data!B248),4)),VALUE(MID(TRIM(Raw_Data!B248),4,2)),VALUE(LEFT(TRIM(Raw_Data!B248),2))),"CHECK"),Raw_Data!B248))</f>
        <v>46207</v>
      </c>
      <c r="C242" s="31" t="str">
        <f aca="false">IFERROR(INDEX(Reference_Lists!$C$23:$C$35,MATCH(PROPER(TRIM(Raw_Data!C248)),Reference_Lists!$B$23:$B$35,0)),"UNMATCHED")</f>
        <v>Help Desk</v>
      </c>
      <c r="D242" s="31" t="str">
        <f aca="false">IFERROR(INDEX(Reference_Lists!$C$36:$C$50,MATCH(PROPER(TRIM(Raw_Data!D248)),Reference_Lists!$B$36:$B$50,0)),"UNMATCHED")</f>
        <v>Rafah</v>
      </c>
      <c r="E242" s="31" t="str">
        <f aca="false">IF(Raw_Data!E248="","",Raw_Data!E248)</f>
        <v>Food Security</v>
      </c>
      <c r="F242" s="31" t="str">
        <f aca="false">IF(Raw_Data!F248="","",Raw_Data!F248)</f>
        <v>Sensitive Complaint</v>
      </c>
      <c r="G242" s="32" t="str">
        <f aca="false">IF(Raw_Data!G248="","",Raw_Data!G248)</f>
        <v>Sensitive</v>
      </c>
      <c r="H242" s="32" t="str">
        <f aca="false">IFERROR(INDEX(Reference_Lists!$C$51:$C$57,MATCH(PROPER(TRIM(Raw_Data!H248)),Reference_Lists!$B$51:$B$57,0)),"UNMATCHED")</f>
        <v>Male</v>
      </c>
      <c r="I242" s="32" t="str">
        <f aca="false">IF(Raw_Data!I248="","",Raw_Data!I248)</f>
        <v>30-44</v>
      </c>
      <c r="J242" s="32" t="str">
        <f aca="false">IFERROR(INDEX(Reference_Lists!$C$58:$C$65,MATCH(PROPER(TRIM(Raw_Data!J248)),Reference_Lists!$B$58:$B$65,0)),"UNMATCHED")</f>
        <v>In Progress</v>
      </c>
      <c r="K242" s="30" t="str">
        <f aca="false">IF(Raw_Data!K248="","",IF(ISTEXT(Raw_Data!K248),IFERROR(DATE(VALUE(RIGHT(TRIM(Raw_Data!K248),4)),VALUE(MID(TRIM(Raw_Data!K248),4,2)),VALUE(LEFT(TRIM(Raw_Data!K248),2))),"CHECK"),Raw_Data!K248))</f>
        <v/>
      </c>
      <c r="L242" s="33" t="str">
        <f aca="false">IF(Raw_Data!L248="","",Raw_Data!L248)</f>
        <v>Sensitive case - details recorded separately by the focal point; not stored in this tracker.</v>
      </c>
      <c r="M242" s="34" t="str">
        <f aca="false">IF(OR(B242="",K242=""),"",IFERROR(K242-B242,"CHECK"))</f>
        <v/>
      </c>
      <c r="N242" s="34" t="n">
        <f aca="false">IFERROR(INDEX(Reference_Lists!$H$13:$H$14,MATCH(G242,Reference_Lists!$G$13:$G$14,0)),"UNMATCHED")</f>
        <v>3</v>
      </c>
      <c r="O242" s="32" t="str">
        <f aca="false">IF(AND(J242="Closed",ISNUMBER(M242),ISNUMBER(N242),M242&gt;=0),M242&lt;=N242,"NOT ASSESSED")</f>
        <v>NOT ASSESSED</v>
      </c>
      <c r="P242" s="36" t="str">
        <f aca="false">Raw_Data!A248</f>
        <v>CFM-2026-0014</v>
      </c>
      <c r="Q242" s="37" t="str">
        <f aca="false">IFERROR(IF(OR($A242="",$P242=""),"MISSING ID",IF(EXACT($A242,$P242),"ALIGNED","MISMATCH")),"CHECK")</f>
        <v>ALIGNED</v>
      </c>
    </row>
    <row r="243" customFormat="false" ht="19.5" hidden="false" customHeight="true" outlineLevel="0" collapsed="false">
      <c r="A243" s="29" t="s">
        <v>363</v>
      </c>
      <c r="B243" s="30" t="n">
        <f aca="false">IF(Raw_Data!B251="","",IF(ISTEXT(Raw_Data!B251),IFERROR(DATE(VALUE(RIGHT(TRIM(Raw_Data!B251),4)),VALUE(MID(TRIM(Raw_Data!B251),4,2)),VALUE(LEFT(TRIM(Raw_Data!B251),2))),"CHECK"),Raw_Data!B251))</f>
        <v>46095</v>
      </c>
      <c r="C243" s="31" t="str">
        <f aca="false">IFERROR(INDEX(Reference_Lists!$C$23:$C$35,MATCH(PROPER(TRIM(Raw_Data!C251)),Reference_Lists!$B$23:$B$35,0)),"UNMATCHED")</f>
        <v>Help Desk</v>
      </c>
      <c r="D243" s="31" t="str">
        <f aca="false">IFERROR(INDEX(Reference_Lists!$C$36:$C$50,MATCH(PROPER(TRIM(Raw_Data!D251)),Reference_Lists!$B$36:$B$50,0)),"UNMATCHED")</f>
        <v>Nuseirat</v>
      </c>
      <c r="E243" s="31" t="str">
        <f aca="false">IF(Raw_Data!E251="","",Raw_Data!E251)</f>
        <v>Health</v>
      </c>
      <c r="F243" s="31" t="str">
        <f aca="false">IF(Raw_Data!F251="","",Raw_Data!F251)</f>
        <v>Complaint</v>
      </c>
      <c r="G243" s="32" t="str">
        <f aca="false">IF(Raw_Data!G251="","",Raw_Data!G251)</f>
        <v>Non-Sensitive</v>
      </c>
      <c r="H243" s="32" t="str">
        <f aca="false">IFERROR(INDEX(Reference_Lists!$C$51:$C$57,MATCH(PROPER(TRIM(Raw_Data!H251)),Reference_Lists!$B$51:$B$57,0)),"UNMATCHED")</f>
        <v>Female</v>
      </c>
      <c r="I243" s="32" t="str">
        <f aca="false">IF(Raw_Data!I251="","",Raw_Data!I251)</f>
        <v>18-29</v>
      </c>
      <c r="J243" s="32" t="str">
        <f aca="false">IFERROR(INDEX(Reference_Lists!$C$58:$C$65,MATCH(PROPER(TRIM(Raw_Data!J251)),Reference_Lists!$B$58:$B$65,0)),"UNMATCHED")</f>
        <v>In Progress</v>
      </c>
      <c r="K243" s="30" t="str">
        <f aca="false">IF(Raw_Data!K251="","",IF(ISTEXT(Raw_Data!K251),IFERROR(DATE(VALUE(RIGHT(TRIM(Raw_Data!K251),4)),VALUE(MID(TRIM(Raw_Data!K251),4,2)),VALUE(LEFT(TRIM(Raw_Data!K251),2))),"CHECK"),Raw_Data!K251))</f>
        <v/>
      </c>
      <c r="L243" s="33" t="str">
        <f aca="false">IF(Raw_Data!L251="","",Raw_Data!L251)</f>
        <v>Requesting a referral pathway for a family member with limited mobility.</v>
      </c>
      <c r="M243" s="34" t="str">
        <f aca="false">IF(OR(B243="",K243=""),"",IFERROR(K243-B243,"CHECK"))</f>
        <v/>
      </c>
      <c r="N243" s="34" t="n">
        <f aca="false">IFERROR(INDEX(Reference_Lists!$H$13:$H$14,MATCH(G243,Reference_Lists!$G$13:$G$14,0)),"UNMATCHED")</f>
        <v>15</v>
      </c>
      <c r="O243" s="32" t="str">
        <f aca="false">IF(AND(J243="Closed",ISNUMBER(M243),ISNUMBER(N243),M243&gt;=0),M243&lt;=N243,"NOT ASSESSED")</f>
        <v>NOT ASSESSED</v>
      </c>
      <c r="P243" s="36" t="str">
        <f aca="false">Raw_Data!A251</f>
        <v>CFM-2026-0308</v>
      </c>
      <c r="Q243" s="37" t="str">
        <f aca="false">IFERROR(IF(OR($A243="",$P243=""),"MISSING ID",IF(EXACT($A243,$P243),"ALIGNED","MISMATCH")),"CHECK")</f>
        <v>ALIGNED</v>
      </c>
    </row>
    <row r="244" customFormat="false" ht="19.5" hidden="false" customHeight="true" outlineLevel="0" collapsed="false">
      <c r="A244" s="29" t="s">
        <v>364</v>
      </c>
      <c r="B244" s="30" t="n">
        <f aca="false">IF(Raw_Data!B252="","",IF(ISTEXT(Raw_Data!B252),IFERROR(DATE(VALUE(RIGHT(TRIM(Raw_Data!B252),4)),VALUE(MID(TRIM(Raw_Data!B252),4,2)),VALUE(LEFT(TRIM(Raw_Data!B252),2))),"CHECK"),Raw_Data!B252))</f>
        <v>46105</v>
      </c>
      <c r="C244" s="31" t="str">
        <f aca="false">IFERROR(INDEX(Reference_Lists!$C$23:$C$35,MATCH(PROPER(TRIM(Raw_Data!C252)),Reference_Lists!$B$23:$B$35,0)),"UNMATCHED")</f>
        <v>Phone Hotline</v>
      </c>
      <c r="D244" s="31" t="str">
        <f aca="false">IFERROR(INDEX(Reference_Lists!$C$36:$C$50,MATCH(PROPER(TRIM(Raw_Data!D252)),Reference_Lists!$B$36:$B$50,0)),"UNMATCHED")</f>
        <v>Rafah</v>
      </c>
      <c r="E244" s="31" t="str">
        <f aca="false">IF(Raw_Data!E252="","",Raw_Data!E252)</f>
        <v>WASH</v>
      </c>
      <c r="F244" s="31" t="str">
        <f aca="false">IF(Raw_Data!F252="","",Raw_Data!F252)</f>
        <v>Appreciation</v>
      </c>
      <c r="G244" s="32" t="str">
        <f aca="false">IF(Raw_Data!G252="","",Raw_Data!G252)</f>
        <v>Non-Sensitive</v>
      </c>
      <c r="H244" s="32" t="str">
        <f aca="false">IFERROR(INDEX(Reference_Lists!$C$51:$C$57,MATCH(PROPER(TRIM(Raw_Data!H252)),Reference_Lists!$B$51:$B$57,0)),"UNMATCHED")</f>
        <v>Female</v>
      </c>
      <c r="I244" s="32" t="str">
        <f aca="false">IF(Raw_Data!I252="","",Raw_Data!I252)</f>
        <v>45-59</v>
      </c>
      <c r="J244" s="32" t="str">
        <f aca="false">IFERROR(INDEX(Reference_Lists!$C$58:$C$65,MATCH(PROPER(TRIM(Raw_Data!J252)),Reference_Lists!$B$58:$B$65,0)),"UNMATCHED")</f>
        <v>Closed</v>
      </c>
      <c r="K244" s="30" t="n">
        <f aca="false">IF(Raw_Data!K252="","",IF(ISTEXT(Raw_Data!K252),IFERROR(DATE(VALUE(RIGHT(TRIM(Raw_Data!K252),4)),VALUE(MID(TRIM(Raw_Data!K252),4,2)),VALUE(LEFT(TRIM(Raw_Data!K252),2))),"CHECK"),Raw_Data!K252))</f>
        <v>46107</v>
      </c>
      <c r="L244" s="33" t="str">
        <f aca="false">IF(Raw_Data!L252="","",Raw_Data!L252)</f>
        <v>Latrine at the site block needs cleaning and lighting at night.</v>
      </c>
      <c r="M244" s="34" t="n">
        <f aca="false">IF(OR(B244="",K244=""),"",IFERROR(K244-B244,"CHECK"))</f>
        <v>2</v>
      </c>
      <c r="N244" s="34" t="n">
        <f aca="false">IFERROR(INDEX(Reference_Lists!$H$13:$H$14,MATCH(G244,Reference_Lists!$G$13:$G$14,0)),"UNMATCHED")</f>
        <v>15</v>
      </c>
      <c r="O244" s="35" t="b">
        <f aca="false">IF(AND(J244="Closed",ISNUMBER(M244),ISNUMBER(N244),M244&gt;=0),M244&lt;=N244,"NOT ASSESSED")</f>
        <v>1</v>
      </c>
      <c r="P244" s="36" t="str">
        <f aca="false">Raw_Data!A252</f>
        <v>CFM-2026-0047</v>
      </c>
      <c r="Q244" s="37" t="str">
        <f aca="false">IFERROR(IF(OR($A244="",$P244=""),"MISSING ID",IF(EXACT($A244,$P244),"ALIGNED","MISMATCH")),"CHECK")</f>
        <v>ALIGNED</v>
      </c>
    </row>
    <row r="245" customFormat="false" ht="19.5" hidden="false" customHeight="true" outlineLevel="0" collapsed="false">
      <c r="A245" s="29" t="s">
        <v>366</v>
      </c>
      <c r="B245" s="30" t="n">
        <f aca="false">IF(Raw_Data!B253="","",IF(ISTEXT(Raw_Data!B253),IFERROR(DATE(VALUE(RIGHT(TRIM(Raw_Data!B253),4)),VALUE(MID(TRIM(Raw_Data!B253),4,2)),VALUE(LEFT(TRIM(Raw_Data!B253),2))),"CHECK"),Raw_Data!B253))</f>
        <v>46027</v>
      </c>
      <c r="C245" s="31" t="str">
        <f aca="false">IFERROR(INDEX(Reference_Lists!$C$23:$C$35,MATCH(PROPER(TRIM(Raw_Data!C253)),Reference_Lists!$B$23:$B$35,0)),"UNMATCHED")</f>
        <v>Community Focal Point</v>
      </c>
      <c r="D245" s="31" t="str">
        <f aca="false">IFERROR(INDEX(Reference_Lists!$C$36:$C$50,MATCH(PROPER(TRIM(Raw_Data!D253)),Reference_Lists!$B$36:$B$50,0)),"UNMATCHED")</f>
        <v>Khan Yunis</v>
      </c>
      <c r="E245" s="31" t="str">
        <f aca="false">IF(Raw_Data!E253="","",Raw_Data!E253)</f>
        <v>WASH</v>
      </c>
      <c r="F245" s="31" t="str">
        <f aca="false">IF(Raw_Data!F253="","",Raw_Data!F253)</f>
        <v>Request for Information</v>
      </c>
      <c r="G245" s="32" t="str">
        <f aca="false">IF(Raw_Data!G253="","",Raw_Data!G253)</f>
        <v>Non-Sensitive</v>
      </c>
      <c r="H245" s="32" t="str">
        <f aca="false">IFERROR(INDEX(Reference_Lists!$C$51:$C$57,MATCH(PROPER(TRIM(Raw_Data!H253)),Reference_Lists!$B$51:$B$57,0)),"UNMATCHED")</f>
        <v>Male</v>
      </c>
      <c r="I245" s="32" t="str">
        <f aca="false">IF(Raw_Data!I253="","",Raw_Data!I253)</f>
        <v>60+</v>
      </c>
      <c r="J245" s="32" t="str">
        <f aca="false">IFERROR(INDEX(Reference_Lists!$C$58:$C$65,MATCH(PROPER(TRIM(Raw_Data!J253)),Reference_Lists!$B$58:$B$65,0)),"UNMATCHED")</f>
        <v>In Progress</v>
      </c>
      <c r="K245" s="30" t="str">
        <f aca="false">IF(Raw_Data!K253="","",IF(ISTEXT(Raw_Data!K253),IFERROR(DATE(VALUE(RIGHT(TRIM(Raw_Data!K253),4)),VALUE(MID(TRIM(Raw_Data!K253),4,2)),VALUE(LEFT(TRIM(Raw_Data!K253),2))),"CHECK"),Raw_Data!K253))</f>
        <v/>
      </c>
      <c r="L245" s="33" t="str">
        <f aca="false">IF(Raw_Data!L253="","",Raw_Data!L253)</f>
        <v>Latrine at the site block needs cleaning and lighting at night.</v>
      </c>
      <c r="M245" s="34" t="str">
        <f aca="false">IF(OR(B245="",K245=""),"",IFERROR(K245-B245,"CHECK"))</f>
        <v/>
      </c>
      <c r="N245" s="34" t="n">
        <f aca="false">IFERROR(INDEX(Reference_Lists!$H$13:$H$14,MATCH(G245,Reference_Lists!$G$13:$G$14,0)),"UNMATCHED")</f>
        <v>15</v>
      </c>
      <c r="O245" s="32" t="str">
        <f aca="false">IF(AND(J245="Closed",ISNUMBER(M245),ISNUMBER(N245),M245&gt;=0),M245&lt;=N245,"NOT ASSESSED")</f>
        <v>NOT ASSESSED</v>
      </c>
      <c r="P245" s="36" t="str">
        <f aca="false">Raw_Data!A253</f>
        <v>CFM-2026-0430</v>
      </c>
      <c r="Q245" s="37" t="str">
        <f aca="false">IFERROR(IF(OR($A245="",$P245=""),"MISSING ID",IF(EXACT($A245,$P245),"ALIGNED","MISMATCH")),"CHECK")</f>
        <v>ALIGNED</v>
      </c>
    </row>
    <row r="246" customFormat="false" ht="19.5" hidden="false" customHeight="true" outlineLevel="0" collapsed="false">
      <c r="A246" s="29" t="s">
        <v>367</v>
      </c>
      <c r="B246" s="30" t="n">
        <f aca="false">IF(Raw_Data!B254="","",IF(ISTEXT(Raw_Data!B254),IFERROR(DATE(VALUE(RIGHT(TRIM(Raw_Data!B254),4)),VALUE(MID(TRIM(Raw_Data!B254),4,2)),VALUE(LEFT(TRIM(Raw_Data!B254),2))),"CHECK"),Raw_Data!B254))</f>
        <v>46107</v>
      </c>
      <c r="C246" s="31" t="str">
        <f aca="false">IFERROR(INDEX(Reference_Lists!$C$23:$C$35,MATCH(PROPER(TRIM(Raw_Data!C254)),Reference_Lists!$B$23:$B$35,0)),"UNMATCHED")</f>
        <v>In-Person at Distribution</v>
      </c>
      <c r="D246" s="31" t="str">
        <f aca="false">IFERROR(INDEX(Reference_Lists!$C$36:$C$50,MATCH(PROPER(TRIM(Raw_Data!D254)),Reference_Lists!$B$36:$B$50,0)),"UNMATCHED")</f>
        <v>Gaza City</v>
      </c>
      <c r="E246" s="31" t="str">
        <f aca="false">IF(Raw_Data!E254="","",Raw_Data!E254)</f>
        <v>WASH</v>
      </c>
      <c r="F246" s="31" t="str">
        <f aca="false">IF(Raw_Data!F254="","",Raw_Data!F254)</f>
        <v>Request for Information</v>
      </c>
      <c r="G246" s="32" t="str">
        <f aca="false">IF(Raw_Data!G254="","",Raw_Data!G254)</f>
        <v>Non-Sensitive</v>
      </c>
      <c r="H246" s="32" t="str">
        <f aca="false">IFERROR(INDEX(Reference_Lists!$C$51:$C$57,MATCH(PROPER(TRIM(Raw_Data!H254)),Reference_Lists!$B$51:$B$57,0)),"UNMATCHED")</f>
        <v>Male</v>
      </c>
      <c r="I246" s="32" t="str">
        <f aca="false">IF(Raw_Data!I254="","",Raw_Data!I254)</f>
        <v>18-29</v>
      </c>
      <c r="J246" s="32" t="str">
        <f aca="false">IFERROR(INDEX(Reference_Lists!$C$58:$C$65,MATCH(PROPER(TRIM(Raw_Data!J254)),Reference_Lists!$B$58:$B$65,0)),"UNMATCHED")</f>
        <v>In Progress</v>
      </c>
      <c r="K246" s="30" t="str">
        <f aca="false">IF(Raw_Data!K254="","",IF(ISTEXT(Raw_Data!K254),IFERROR(DATE(VALUE(RIGHT(TRIM(Raw_Data!K254),4)),VALUE(MID(TRIM(Raw_Data!K254),4,2)),VALUE(LEFT(TRIM(Raw_Data!K254),2))),"CHECK"),Raw_Data!K254))</f>
        <v/>
      </c>
      <c r="L246" s="33" t="str">
        <f aca="false">IF(Raw_Data!L254="","",Raw_Data!L254)</f>
        <v>The queue at the water point is not organised and older people cannot wait.</v>
      </c>
      <c r="M246" s="34" t="str">
        <f aca="false">IF(OR(B246="",K246=""),"",IFERROR(K246-B246,"CHECK"))</f>
        <v/>
      </c>
      <c r="N246" s="34" t="n">
        <f aca="false">IFERROR(INDEX(Reference_Lists!$H$13:$H$14,MATCH(G246,Reference_Lists!$G$13:$G$14,0)),"UNMATCHED")</f>
        <v>15</v>
      </c>
      <c r="O246" s="32" t="str">
        <f aca="false">IF(AND(J246="Closed",ISNUMBER(M246),ISNUMBER(N246),M246&gt;=0),M246&lt;=N246,"NOT ASSESSED")</f>
        <v>NOT ASSESSED</v>
      </c>
      <c r="P246" s="36" t="str">
        <f aca="false">Raw_Data!A254</f>
        <v>CFM-2026-0022</v>
      </c>
      <c r="Q246" s="37" t="str">
        <f aca="false">IFERROR(IF(OR($A246="",$P246=""),"MISSING ID",IF(EXACT($A246,$P246),"ALIGNED","MISMATCH")),"CHECK")</f>
        <v>ALIGNED</v>
      </c>
    </row>
    <row r="247" customFormat="false" ht="19.5" hidden="false" customHeight="true" outlineLevel="0" collapsed="false">
      <c r="A247" s="29" t="s">
        <v>368</v>
      </c>
      <c r="B247" s="30" t="n">
        <f aca="false">IF(Raw_Data!B255="","",IF(ISTEXT(Raw_Data!B255),IFERROR(DATE(VALUE(RIGHT(TRIM(Raw_Data!B255),4)),VALUE(MID(TRIM(Raw_Data!B255),4,2)),VALUE(LEFT(TRIM(Raw_Data!B255),2))),"CHECK"),Raw_Data!B255))</f>
        <v>46133</v>
      </c>
      <c r="C247" s="31" t="str">
        <f aca="false">IFERROR(INDEX(Reference_Lists!$C$23:$C$35,MATCH(PROPER(TRIM(Raw_Data!C255)),Reference_Lists!$B$23:$B$35,0)),"UNMATCHED")</f>
        <v>In-Person at Distribution</v>
      </c>
      <c r="D247" s="31" t="str">
        <f aca="false">IFERROR(INDEX(Reference_Lists!$C$36:$C$50,MATCH(PROPER(TRIM(Raw_Data!D255)),Reference_Lists!$B$36:$B$50,0)),"UNMATCHED")</f>
        <v>Jabalia</v>
      </c>
      <c r="E247" s="31" t="str">
        <f aca="false">IF(Raw_Data!E255="","",Raw_Data!E255)</f>
        <v>WASH</v>
      </c>
      <c r="F247" s="31" t="str">
        <f aca="false">IF(Raw_Data!F255="","",Raw_Data!F255)</f>
        <v>Request for Information</v>
      </c>
      <c r="G247" s="32" t="str">
        <f aca="false">IF(Raw_Data!G255="","",Raw_Data!G255)</f>
        <v>Non-Sensitive</v>
      </c>
      <c r="H247" s="32" t="str">
        <f aca="false">IFERROR(INDEX(Reference_Lists!$C$51:$C$57,MATCH(PROPER(TRIM(Raw_Data!H255)),Reference_Lists!$B$51:$B$57,0)),"UNMATCHED")</f>
        <v>Male</v>
      </c>
      <c r="I247" s="32" t="str">
        <f aca="false">IF(Raw_Data!I255="","",Raw_Data!I255)</f>
        <v>18-29</v>
      </c>
      <c r="J247" s="32" t="str">
        <f aca="false">IFERROR(INDEX(Reference_Lists!$C$58:$C$65,MATCH(PROPER(TRIM(Raw_Data!J255)),Reference_Lists!$B$58:$B$65,0)),"UNMATCHED")</f>
        <v>Open</v>
      </c>
      <c r="K247" s="30" t="str">
        <f aca="false">IF(Raw_Data!K255="","",IF(ISTEXT(Raw_Data!K255),IFERROR(DATE(VALUE(RIGHT(TRIM(Raw_Data!K255),4)),VALUE(MID(TRIM(Raw_Data!K255),4,2)),VALUE(LEFT(TRIM(Raw_Data!K255),2))),"CHECK"),Raw_Data!K255))</f>
        <v/>
      </c>
      <c r="L247" s="33" t="str">
        <f aca="false">IF(Raw_Data!L255="","",Raw_Data!L255)</f>
        <v>Requesting additional jerrycans for a shared shelter of four families.</v>
      </c>
      <c r="M247" s="34" t="str">
        <f aca="false">IF(OR(B247="",K247=""),"",IFERROR(K247-B247,"CHECK"))</f>
        <v/>
      </c>
      <c r="N247" s="34" t="n">
        <f aca="false">IFERROR(INDEX(Reference_Lists!$H$13:$H$14,MATCH(G247,Reference_Lists!$G$13:$G$14,0)),"UNMATCHED")</f>
        <v>15</v>
      </c>
      <c r="O247" s="32" t="str">
        <f aca="false">IF(AND(J247="Closed",ISNUMBER(M247),ISNUMBER(N247),M247&gt;=0),M247&lt;=N247,"NOT ASSESSED")</f>
        <v>NOT ASSESSED</v>
      </c>
      <c r="P247" s="36" t="str">
        <f aca="false">Raw_Data!A255</f>
        <v>CFM-2026-0218</v>
      </c>
      <c r="Q247" s="37" t="str">
        <f aca="false">IFERROR(IF(OR($A247="",$P247=""),"MISSING ID",IF(EXACT($A247,$P247),"ALIGNED","MISMATCH")),"CHECK")</f>
        <v>ALIGNED</v>
      </c>
    </row>
    <row r="248" customFormat="false" ht="19.5" hidden="false" customHeight="true" outlineLevel="0" collapsed="false">
      <c r="A248" s="29" t="s">
        <v>369</v>
      </c>
      <c r="B248" s="30" t="n">
        <f aca="false">IF(Raw_Data!B256="","",IF(ISTEXT(Raw_Data!B256),IFERROR(DATE(VALUE(RIGHT(TRIM(Raw_Data!B256),4)),VALUE(MID(TRIM(Raw_Data!B256),4,2)),VALUE(LEFT(TRIM(Raw_Data!B256),2))),"CHECK"),Raw_Data!B256))</f>
        <v>46083</v>
      </c>
      <c r="C248" s="31" t="str">
        <f aca="false">IFERROR(INDEX(Reference_Lists!$C$23:$C$35,MATCH(PROPER(TRIM(Raw_Data!C256)),Reference_Lists!$B$23:$B$35,0)),"UNMATCHED")</f>
        <v>Suggestion Box</v>
      </c>
      <c r="D248" s="31" t="str">
        <f aca="false">IFERROR(INDEX(Reference_Lists!$C$36:$C$50,MATCH(PROPER(TRIM(Raw_Data!D256)),Reference_Lists!$B$36:$B$50,0)),"UNMATCHED")</f>
        <v>Gaza City</v>
      </c>
      <c r="E248" s="31" t="str">
        <f aca="false">IF(Raw_Data!E256="","",Raw_Data!E256)</f>
        <v>Nutrition</v>
      </c>
      <c r="F248" s="31" t="str">
        <f aca="false">IF(Raw_Data!F256="","",Raw_Data!F256)</f>
        <v>Request for Information</v>
      </c>
      <c r="G248" s="32" t="str">
        <f aca="false">IF(Raw_Data!G256="","",Raw_Data!G256)</f>
        <v>Non-Sensitive</v>
      </c>
      <c r="H248" s="32" t="str">
        <f aca="false">IFERROR(INDEX(Reference_Lists!$C$51:$C$57,MATCH(PROPER(TRIM(Raw_Data!H256)),Reference_Lists!$B$51:$B$57,0)),"UNMATCHED")</f>
        <v>Female</v>
      </c>
      <c r="I248" s="32" t="str">
        <f aca="false">IF(Raw_Data!I256="","",Raw_Data!I256)</f>
        <v>18-29</v>
      </c>
      <c r="J248" s="32" t="str">
        <f aca="false">IFERROR(INDEX(Reference_Lists!$C$58:$C$65,MATCH(PROPER(TRIM(Raw_Data!J256)),Reference_Lists!$B$58:$B$65,0)),"UNMATCHED")</f>
        <v>Closed</v>
      </c>
      <c r="K248" s="30" t="n">
        <f aca="false">IF(Raw_Data!K256="","",IF(ISTEXT(Raw_Data!K256),IFERROR(DATE(VALUE(RIGHT(TRIM(Raw_Data!K256),4)),VALUE(MID(TRIM(Raw_Data!K256),4,2)),VALUE(LEFT(TRIM(Raw_Data!K256),2))),"CHECK"),Raw_Data!K256))</f>
        <v>46098</v>
      </c>
      <c r="L248" s="33" t="str">
        <f aca="false">IF(Raw_Data!L256="","",Raw_Data!L256)</f>
        <v>Requesting a screening session closer to the northern shelter.</v>
      </c>
      <c r="M248" s="34" t="n">
        <f aca="false">IF(OR(B248="",K248=""),"",IFERROR(K248-B248,"CHECK"))</f>
        <v>15</v>
      </c>
      <c r="N248" s="34" t="n">
        <f aca="false">IFERROR(INDEX(Reference_Lists!$H$13:$H$14,MATCH(G248,Reference_Lists!$G$13:$G$14,0)),"UNMATCHED")</f>
        <v>15</v>
      </c>
      <c r="O248" s="35" t="b">
        <f aca="false">IF(AND(J248="Closed",ISNUMBER(M248),ISNUMBER(N248),M248&gt;=0),M248&lt;=N248,"NOT ASSESSED")</f>
        <v>1</v>
      </c>
      <c r="P248" s="36" t="str">
        <f aca="false">Raw_Data!A256</f>
        <v>CFM-2026-0193</v>
      </c>
      <c r="Q248" s="37" t="str">
        <f aca="false">IFERROR(IF(OR($A248="",$P248=""),"MISSING ID",IF(EXACT($A248,$P248),"ALIGNED","MISMATCH")),"CHECK")</f>
        <v>ALIGNED</v>
      </c>
    </row>
    <row r="249" customFormat="false" ht="19.5" hidden="false" customHeight="true" outlineLevel="0" collapsed="false">
      <c r="A249" s="29" t="s">
        <v>371</v>
      </c>
      <c r="B249" s="30" t="n">
        <f aca="false">IF(Raw_Data!B257="","",IF(ISTEXT(Raw_Data!B257),IFERROR(DATE(VALUE(RIGHT(TRIM(Raw_Data!B257),4)),VALUE(MID(TRIM(Raw_Data!B257),4,2)),VALUE(LEFT(TRIM(Raw_Data!B257),2))),"CHECK"),Raw_Data!B257))</f>
        <v>46116</v>
      </c>
      <c r="C249" s="31" t="str">
        <f aca="false">IFERROR(INDEX(Reference_Lists!$C$23:$C$35,MATCH(PROPER(TRIM(Raw_Data!C257)),Reference_Lists!$B$23:$B$35,0)),"UNMATCHED")</f>
        <v>Community Focal Point</v>
      </c>
      <c r="D249" s="31" t="str">
        <f aca="false">IFERROR(INDEX(Reference_Lists!$C$36:$C$50,MATCH(PROPER(TRIM(Raw_Data!D257)),Reference_Lists!$B$36:$B$50,0)),"UNMATCHED")</f>
        <v>Nuseirat</v>
      </c>
      <c r="E249" s="31" t="str">
        <f aca="false">IF(Raw_Data!E257="","",Raw_Data!E257)</f>
        <v>Shelter</v>
      </c>
      <c r="F249" s="31" t="str">
        <f aca="false">IF(Raw_Data!F257="","",Raw_Data!F257)</f>
        <v>Request for Information</v>
      </c>
      <c r="G249" s="32" t="str">
        <f aca="false">IF(Raw_Data!G257="","",Raw_Data!G257)</f>
        <v>Non-Sensitive</v>
      </c>
      <c r="H249" s="32" t="str">
        <f aca="false">IFERROR(INDEX(Reference_Lists!$C$51:$C$57,MATCH(PROPER(TRIM(Raw_Data!H257)),Reference_Lists!$B$51:$B$57,0)),"UNMATCHED")</f>
        <v>Male</v>
      </c>
      <c r="I249" s="32" t="str">
        <f aca="false">IF(Raw_Data!I257="","",Raw_Data!I257)</f>
        <v>18-29</v>
      </c>
      <c r="J249" s="32" t="str">
        <f aca="false">IFERROR(INDEX(Reference_Lists!$C$58:$C$65,MATCH(PROPER(TRIM(Raw_Data!J257)),Reference_Lists!$B$58:$B$65,0)),"UNMATCHED")</f>
        <v>In Progress</v>
      </c>
      <c r="K249" s="30" t="str">
        <f aca="false">IF(Raw_Data!K257="","",IF(ISTEXT(Raw_Data!K257),IFERROR(DATE(VALUE(RIGHT(TRIM(Raw_Data!K257),4)),VALUE(MID(TRIM(Raw_Data!K257),4,2)),VALUE(LEFT(TRIM(Raw_Data!K257),2))),"CHECK"),Raw_Data!K257))</f>
        <v/>
      </c>
      <c r="L249" s="33" t="str">
        <f aca="false">IF(Raw_Data!L257="","",Raw_Data!L257)</f>
        <v>Tarpaulin received is torn and does not cover the shelter area.</v>
      </c>
      <c r="M249" s="34" t="str">
        <f aca="false">IF(OR(B249="",K249=""),"",IFERROR(K249-B249,"CHECK"))</f>
        <v/>
      </c>
      <c r="N249" s="34" t="n">
        <f aca="false">IFERROR(INDEX(Reference_Lists!$H$13:$H$14,MATCH(G249,Reference_Lists!$G$13:$G$14,0)),"UNMATCHED")</f>
        <v>15</v>
      </c>
      <c r="O249" s="32" t="str">
        <f aca="false">IF(AND(J249="Closed",ISNUMBER(M249),ISNUMBER(N249),M249&gt;=0),M249&lt;=N249,"NOT ASSESSED")</f>
        <v>NOT ASSESSED</v>
      </c>
      <c r="P249" s="36" t="str">
        <f aca="false">Raw_Data!A257</f>
        <v>CFM-2026-0378</v>
      </c>
      <c r="Q249" s="37" t="str">
        <f aca="false">IFERROR(IF(OR($A249="",$P249=""),"MISSING ID",IF(EXACT($A249,$P249),"ALIGNED","MISMATCH")),"CHECK")</f>
        <v>ALIGNED</v>
      </c>
    </row>
    <row r="250" customFormat="false" ht="19.5" hidden="false" customHeight="true" outlineLevel="0" collapsed="false">
      <c r="A250" s="29" t="s">
        <v>372</v>
      </c>
      <c r="B250" s="30" t="n">
        <f aca="false">IF(Raw_Data!B259="","",IF(ISTEXT(Raw_Data!B259),IFERROR(DATE(VALUE(RIGHT(TRIM(Raw_Data!B259),4)),VALUE(MID(TRIM(Raw_Data!B259),4,2)),VALUE(LEFT(TRIM(Raw_Data!B259),2))),"CHECK"),Raw_Data!B259))</f>
        <v>46081</v>
      </c>
      <c r="C250" s="31" t="str">
        <f aca="false">IFERROR(INDEX(Reference_Lists!$C$23:$C$35,MATCH(PROPER(TRIM(Raw_Data!C259)),Reference_Lists!$B$23:$B$35,0)),"UNMATCHED")</f>
        <v>Suggestion Box</v>
      </c>
      <c r="D250" s="31" t="str">
        <f aca="false">IFERROR(INDEX(Reference_Lists!$C$36:$C$50,MATCH(PROPER(TRIM(Raw_Data!D259)),Reference_Lists!$B$36:$B$50,0)),"UNMATCHED")</f>
        <v>Gaza City</v>
      </c>
      <c r="E250" s="31" t="str">
        <f aca="false">IF(Raw_Data!E259="","",Raw_Data!E259)</f>
        <v>WASH</v>
      </c>
      <c r="F250" s="31" t="str">
        <f aca="false">IF(Raw_Data!F259="","",Raw_Data!F259)</f>
        <v>Complaint</v>
      </c>
      <c r="G250" s="32" t="str">
        <f aca="false">IF(Raw_Data!G259="","",Raw_Data!G259)</f>
        <v>Non-Sensitive</v>
      </c>
      <c r="H250" s="32" t="str">
        <f aca="false">IFERROR(INDEX(Reference_Lists!$C$51:$C$57,MATCH(PROPER(TRIM(Raw_Data!H259)),Reference_Lists!$B$51:$B$57,0)),"UNMATCHED")</f>
        <v>Female</v>
      </c>
      <c r="I250" s="32" t="str">
        <f aca="false">IF(Raw_Data!I259="","",Raw_Data!I259)</f>
        <v>45-59</v>
      </c>
      <c r="J250" s="32" t="str">
        <f aca="false">IFERROR(INDEX(Reference_Lists!$C$58:$C$65,MATCH(PROPER(TRIM(Raw_Data!J259)),Reference_Lists!$B$58:$B$65,0)),"UNMATCHED")</f>
        <v>In Progress</v>
      </c>
      <c r="K250" s="30" t="str">
        <f aca="false">IF(Raw_Data!K259="","",IF(ISTEXT(Raw_Data!K259),IFERROR(DATE(VALUE(RIGHT(TRIM(Raw_Data!K259),4)),VALUE(MID(TRIM(Raw_Data!K259),4,2)),VALUE(LEFT(TRIM(Raw_Data!K259),2))),"CHECK"),Raw_Data!K259))</f>
        <v/>
      </c>
      <c r="L250" s="33" t="str">
        <f aca="false">IF(Raw_Data!L259="","",Raw_Data!L259)</f>
        <v>Latrine at the site block needs cleaning and lighting at night.</v>
      </c>
      <c r="M250" s="34" t="str">
        <f aca="false">IF(OR(B250="",K250=""),"",IFERROR(K250-B250,"CHECK"))</f>
        <v/>
      </c>
      <c r="N250" s="34" t="n">
        <f aca="false">IFERROR(INDEX(Reference_Lists!$H$13:$H$14,MATCH(G250,Reference_Lists!$G$13:$G$14,0)),"UNMATCHED")</f>
        <v>15</v>
      </c>
      <c r="O250" s="32" t="str">
        <f aca="false">IF(AND(J250="Closed",ISNUMBER(M250),ISNUMBER(N250),M250&gt;=0),M250&lt;=N250,"NOT ASSESSED")</f>
        <v>NOT ASSESSED</v>
      </c>
      <c r="P250" s="36" t="str">
        <f aca="false">Raw_Data!A259</f>
        <v>CFM-2026-0016</v>
      </c>
      <c r="Q250" s="37" t="str">
        <f aca="false">IFERROR(IF(OR($A250="",$P250=""),"MISSING ID",IF(EXACT($A250,$P250),"ALIGNED","MISMATCH")),"CHECK")</f>
        <v>ALIGNED</v>
      </c>
    </row>
    <row r="251" customFormat="false" ht="19.5" hidden="false" customHeight="true" outlineLevel="0" collapsed="false">
      <c r="A251" s="29" t="s">
        <v>373</v>
      </c>
      <c r="B251" s="30" t="n">
        <f aca="false">IF(Raw_Data!B260="","",IF(ISTEXT(Raw_Data!B260),IFERROR(DATE(VALUE(RIGHT(TRIM(Raw_Data!B260),4)),VALUE(MID(TRIM(Raw_Data!B260),4,2)),VALUE(LEFT(TRIM(Raw_Data!B260),2))),"CHECK"),Raw_Data!B260))</f>
        <v>46065</v>
      </c>
      <c r="C251" s="31" t="str">
        <f aca="false">IFERROR(INDEX(Reference_Lists!$C$23:$C$35,MATCH(PROPER(TRIM(Raw_Data!C260)),Reference_Lists!$B$23:$B$35,0)),"UNMATCHED")</f>
        <v>Suggestion Box</v>
      </c>
      <c r="D251" s="31" t="str">
        <f aca="false">IFERROR(INDEX(Reference_Lists!$C$36:$C$50,MATCH(PROPER(TRIM(Raw_Data!D260)),Reference_Lists!$B$36:$B$50,0)),"UNMATCHED")</f>
        <v>Gaza City</v>
      </c>
      <c r="E251" s="31" t="str">
        <f aca="false">IF(Raw_Data!E260="","",Raw_Data!E260)</f>
        <v>WASH</v>
      </c>
      <c r="F251" s="31" t="str">
        <f aca="false">IF(Raw_Data!F260="","",Raw_Data!F260)</f>
        <v>Complaint</v>
      </c>
      <c r="G251" s="32" t="str">
        <f aca="false">IF(Raw_Data!G260="","",Raw_Data!G260)</f>
        <v>Non-Sensitive</v>
      </c>
      <c r="H251" s="32" t="str">
        <f aca="false">IFERROR(INDEX(Reference_Lists!$C$51:$C$57,MATCH(PROPER(TRIM(Raw_Data!H260)),Reference_Lists!$B$51:$B$57,0)),"UNMATCHED")</f>
        <v>Male</v>
      </c>
      <c r="I251" s="32" t="str">
        <f aca="false">IF(Raw_Data!I260="","",Raw_Data!I260)</f>
        <v>30-44</v>
      </c>
      <c r="J251" s="32" t="str">
        <f aca="false">IFERROR(INDEX(Reference_Lists!$C$58:$C$65,MATCH(PROPER(TRIM(Raw_Data!J260)),Reference_Lists!$B$58:$B$65,0)),"UNMATCHED")</f>
        <v>Open</v>
      </c>
      <c r="K251" s="30" t="str">
        <f aca="false">IF(Raw_Data!K260="","",IF(ISTEXT(Raw_Data!K260),IFERROR(DATE(VALUE(RIGHT(TRIM(Raw_Data!K260),4)),VALUE(MID(TRIM(Raw_Data!K260),4,2)),VALUE(LEFT(TRIM(Raw_Data!K260),2))),"CHECK"),Raw_Data!K260))</f>
        <v/>
      </c>
      <c r="L251" s="33" t="str">
        <f aca="false">IF(Raw_Data!L260="","",Raw_Data!L260)</f>
        <v>Latrine at the site block needs cleaning and lighting at night.</v>
      </c>
      <c r="M251" s="34" t="str">
        <f aca="false">IF(OR(B251="",K251=""),"",IFERROR(K251-B251,"CHECK"))</f>
        <v/>
      </c>
      <c r="N251" s="34" t="n">
        <f aca="false">IFERROR(INDEX(Reference_Lists!$H$13:$H$14,MATCH(G251,Reference_Lists!$G$13:$G$14,0)),"UNMATCHED")</f>
        <v>15</v>
      </c>
      <c r="O251" s="32" t="str">
        <f aca="false">IF(AND(J251="Closed",ISNUMBER(M251),ISNUMBER(N251),M251&gt;=0),M251&lt;=N251,"NOT ASSESSED")</f>
        <v>NOT ASSESSED</v>
      </c>
      <c r="P251" s="36" t="str">
        <f aca="false">Raw_Data!A260</f>
        <v>CFM-2026-0490</v>
      </c>
      <c r="Q251" s="37" t="str">
        <f aca="false">IFERROR(IF(OR($A251="",$P251=""),"MISSING ID",IF(EXACT($A251,$P251),"ALIGNED","MISMATCH")),"CHECK")</f>
        <v>ALIGNED</v>
      </c>
    </row>
    <row r="252" customFormat="false" ht="19.5" hidden="false" customHeight="true" outlineLevel="0" collapsed="false">
      <c r="A252" s="29" t="s">
        <v>374</v>
      </c>
      <c r="B252" s="30" t="n">
        <f aca="false">IF(Raw_Data!B261="","",IF(ISTEXT(Raw_Data!B261),IFERROR(DATE(VALUE(RIGHT(TRIM(Raw_Data!B261),4)),VALUE(MID(TRIM(Raw_Data!B261),4,2)),VALUE(LEFT(TRIM(Raw_Data!B261),2))),"CHECK"),Raw_Data!B261))</f>
        <v>46079</v>
      </c>
      <c r="C252" s="31" t="str">
        <f aca="false">IFERROR(INDEX(Reference_Lists!$C$23:$C$35,MATCH(PROPER(TRIM(Raw_Data!C261)),Reference_Lists!$B$23:$B$35,0)),"UNMATCHED")</f>
        <v>Phone Hotline</v>
      </c>
      <c r="D252" s="31" t="str">
        <f aca="false">IFERROR(INDEX(Reference_Lists!$C$36:$C$50,MATCH(PROPER(TRIM(Raw_Data!D261)),Reference_Lists!$B$36:$B$50,0)),"UNMATCHED")</f>
        <v>Deir al-Balah</v>
      </c>
      <c r="E252" s="31" t="str">
        <f aca="false">IF(Raw_Data!E261="","",Raw_Data!E261)</f>
        <v>WASH</v>
      </c>
      <c r="F252" s="31" t="str">
        <f aca="false">IF(Raw_Data!F261="","",Raw_Data!F261)</f>
        <v>Request for Information</v>
      </c>
      <c r="G252" s="32" t="str">
        <f aca="false">IF(Raw_Data!G261="","",Raw_Data!G261)</f>
        <v>Non-Sensitive</v>
      </c>
      <c r="H252" s="32" t="str">
        <f aca="false">IFERROR(INDEX(Reference_Lists!$C$51:$C$57,MATCH(PROPER(TRIM(Raw_Data!H261)),Reference_Lists!$B$51:$B$57,0)),"UNMATCHED")</f>
        <v>Prefer not to say</v>
      </c>
      <c r="I252" s="32" t="str">
        <f aca="false">IF(Raw_Data!I261="","",Raw_Data!I261)</f>
        <v>Under 18</v>
      </c>
      <c r="J252" s="32" t="str">
        <f aca="false">IFERROR(INDEX(Reference_Lists!$C$58:$C$65,MATCH(PROPER(TRIM(Raw_Data!J261)),Reference_Lists!$B$58:$B$65,0)),"UNMATCHED")</f>
        <v>Closed</v>
      </c>
      <c r="K252" s="30" t="n">
        <f aca="false">IF(Raw_Data!K261="","",IF(ISTEXT(Raw_Data!K261),IFERROR(DATE(VALUE(RIGHT(TRIM(Raw_Data!K261),4)),VALUE(MID(TRIM(Raw_Data!K261),4,2)),VALUE(LEFT(TRIM(Raw_Data!K261),2))),"CHECK"),Raw_Data!K261))</f>
        <v>46085</v>
      </c>
      <c r="L252" s="33" t="str">
        <f aca="false">IF(Raw_Data!L261="","",Raw_Data!L261)</f>
        <v>Water truck did not arrive at the agreed time for three consecutive days.</v>
      </c>
      <c r="M252" s="34" t="n">
        <f aca="false">IF(OR(B252="",K252=""),"",IFERROR(K252-B252,"CHECK"))</f>
        <v>6</v>
      </c>
      <c r="N252" s="34" t="n">
        <f aca="false">IFERROR(INDEX(Reference_Lists!$H$13:$H$14,MATCH(G252,Reference_Lists!$G$13:$G$14,0)),"UNMATCHED")</f>
        <v>15</v>
      </c>
      <c r="O252" s="35" t="b">
        <f aca="false">IF(AND(J252="Closed",ISNUMBER(M252),ISNUMBER(N252),M252&gt;=0),M252&lt;=N252,"NOT ASSESSED")</f>
        <v>1</v>
      </c>
      <c r="P252" s="36" t="str">
        <f aca="false">Raw_Data!A261</f>
        <v>CFM-2026-0422</v>
      </c>
      <c r="Q252" s="37" t="str">
        <f aca="false">IFERROR(IF(OR($A252="",$P252=""),"MISSING ID",IF(EXACT($A252,$P252),"ALIGNED","MISMATCH")),"CHECK")</f>
        <v>ALIGNED</v>
      </c>
    </row>
    <row r="253" customFormat="false" ht="19.5" hidden="false" customHeight="true" outlineLevel="0" collapsed="false">
      <c r="A253" s="29" t="s">
        <v>375</v>
      </c>
      <c r="B253" s="30" t="n">
        <f aca="false">IF(Raw_Data!B262="","",IF(ISTEXT(Raw_Data!B262),IFERROR(DATE(VALUE(RIGHT(TRIM(Raw_Data!B262),4)),VALUE(MID(TRIM(Raw_Data!B262),4,2)),VALUE(LEFT(TRIM(Raw_Data!B262),2))),"CHECK"),Raw_Data!B262))</f>
        <v>46110</v>
      </c>
      <c r="C253" s="31" t="str">
        <f aca="false">IFERROR(INDEX(Reference_Lists!$C$23:$C$35,MATCH(PROPER(TRIM(Raw_Data!C262)),Reference_Lists!$B$23:$B$35,0)),"UNMATCHED")</f>
        <v>Help Desk</v>
      </c>
      <c r="D253" s="31" t="str">
        <f aca="false">IFERROR(INDEX(Reference_Lists!$C$36:$C$50,MATCH(PROPER(TRIM(Raw_Data!D262)),Reference_Lists!$B$36:$B$50,0)),"UNMATCHED")</f>
        <v>Rafah</v>
      </c>
      <c r="E253" s="31" t="str">
        <f aca="false">IF(Raw_Data!E262="","",Raw_Data!E262)</f>
        <v>Shelter</v>
      </c>
      <c r="F253" s="31" t="str">
        <f aca="false">IF(Raw_Data!F262="","",Raw_Data!F262)</f>
        <v>Sensitive Complaint</v>
      </c>
      <c r="G253" s="32" t="str">
        <f aca="false">IF(Raw_Data!G262="","",Raw_Data!G262)</f>
        <v>Sensitive</v>
      </c>
      <c r="H253" s="32" t="str">
        <f aca="false">IFERROR(INDEX(Reference_Lists!$C$51:$C$57,MATCH(PROPER(TRIM(Raw_Data!H262)),Reference_Lists!$B$51:$B$57,0)),"UNMATCHED")</f>
        <v>Female</v>
      </c>
      <c r="I253" s="32" t="str">
        <f aca="false">IF(Raw_Data!I262="","",Raw_Data!I262)</f>
        <v>30-44</v>
      </c>
      <c r="J253" s="32" t="str">
        <f aca="false">IFERROR(INDEX(Reference_Lists!$C$58:$C$65,MATCH(PROPER(TRIM(Raw_Data!J262)),Reference_Lists!$B$58:$B$65,0)),"UNMATCHED")</f>
        <v>In Progress</v>
      </c>
      <c r="K253" s="30" t="str">
        <f aca="false">IF(Raw_Data!K262="","",IF(ISTEXT(Raw_Data!K262),IFERROR(DATE(VALUE(RIGHT(TRIM(Raw_Data!K262),4)),VALUE(MID(TRIM(Raw_Data!K262),4,2)),VALUE(LEFT(TRIM(Raw_Data!K262),2))),"CHECK"),Raw_Data!K262))</f>
        <v/>
      </c>
      <c r="L253" s="33" t="str">
        <f aca="false">IF(Raw_Data!L262="","",Raw_Data!L262)</f>
        <v>Sensitive case - details recorded separately by the focal point; not stored in this tracker.</v>
      </c>
      <c r="M253" s="34" t="str">
        <f aca="false">IF(OR(B253="",K253=""),"",IFERROR(K253-B253,"CHECK"))</f>
        <v/>
      </c>
      <c r="N253" s="34" t="n">
        <f aca="false">IFERROR(INDEX(Reference_Lists!$H$13:$H$14,MATCH(G253,Reference_Lists!$G$13:$G$14,0)),"UNMATCHED")</f>
        <v>3</v>
      </c>
      <c r="O253" s="32" t="str">
        <f aca="false">IF(AND(J253="Closed",ISNUMBER(M253),ISNUMBER(N253),M253&gt;=0),M253&lt;=N253,"NOT ASSESSED")</f>
        <v>NOT ASSESSED</v>
      </c>
      <c r="P253" s="36" t="str">
        <f aca="false">Raw_Data!A262</f>
        <v>CFM-2026-0358</v>
      </c>
      <c r="Q253" s="37" t="str">
        <f aca="false">IFERROR(IF(OR($A253="",$P253=""),"MISSING ID",IF(EXACT($A253,$P253),"ALIGNED","MISMATCH")),"CHECK")</f>
        <v>ALIGNED</v>
      </c>
    </row>
    <row r="254" customFormat="false" ht="19.5" hidden="false" customHeight="true" outlineLevel="0" collapsed="false">
      <c r="A254" s="29" t="s">
        <v>376</v>
      </c>
      <c r="B254" s="30" t="n">
        <f aca="false">IF(Raw_Data!B263="","",IF(ISTEXT(Raw_Data!B263),IFERROR(DATE(VALUE(RIGHT(TRIM(Raw_Data!B263),4)),VALUE(MID(TRIM(Raw_Data!B263),4,2)),VALUE(LEFT(TRIM(Raw_Data!B263),2))),"CHECK"),Raw_Data!B263))</f>
        <v>46166</v>
      </c>
      <c r="C254" s="31" t="str">
        <f aca="false">IFERROR(INDEX(Reference_Lists!$C$23:$C$35,MATCH(PROPER(TRIM(Raw_Data!C263)),Reference_Lists!$B$23:$B$35,0)),"UNMATCHED")</f>
        <v>In-Person at Distribution</v>
      </c>
      <c r="D254" s="31" t="str">
        <f aca="false">IFERROR(INDEX(Reference_Lists!$C$36:$C$50,MATCH(PROPER(TRIM(Raw_Data!D263)),Reference_Lists!$B$36:$B$50,0)),"UNMATCHED")</f>
        <v>Jabalia</v>
      </c>
      <c r="E254" s="31" t="str">
        <f aca="false">IF(Raw_Data!E263="","",Raw_Data!E263)</f>
        <v>Nutrition</v>
      </c>
      <c r="F254" s="31" t="str">
        <f aca="false">IF(Raw_Data!F263="","",Raw_Data!F263)</f>
        <v>Complaint</v>
      </c>
      <c r="G254" s="32" t="str">
        <f aca="false">IF(Raw_Data!G263="","",Raw_Data!G263)</f>
        <v>Non-Sensitive</v>
      </c>
      <c r="H254" s="32" t="str">
        <f aca="false">IFERROR(INDEX(Reference_Lists!$C$51:$C$57,MATCH(PROPER(TRIM(Raw_Data!H263)),Reference_Lists!$B$51:$B$57,0)),"UNMATCHED")</f>
        <v>Male</v>
      </c>
      <c r="I254" s="32" t="str">
        <f aca="false">IF(Raw_Data!I263="","",Raw_Data!I263)</f>
        <v>18-29</v>
      </c>
      <c r="J254" s="32" t="str">
        <f aca="false">IFERROR(INDEX(Reference_Lists!$C$58:$C$65,MATCH(PROPER(TRIM(Raw_Data!J263)),Reference_Lists!$B$58:$B$65,0)),"UNMATCHED")</f>
        <v>Closed</v>
      </c>
      <c r="K254" s="30" t="n">
        <f aca="false">IF(Raw_Data!K263="","",IF(ISTEXT(Raw_Data!K263),IFERROR(DATE(VALUE(RIGHT(TRIM(Raw_Data!K263),4)),VALUE(MID(TRIM(Raw_Data!K263),4,2)),VALUE(LEFT(TRIM(Raw_Data!K263),2))),"CHECK"),Raw_Data!K263))</f>
        <v>46173</v>
      </c>
      <c r="L254" s="33" t="str">
        <f aca="false">IF(Raw_Data!L263="","",Raw_Data!L263)</f>
        <v>Requesting a screening session closer to the northern shelter.</v>
      </c>
      <c r="M254" s="34" t="n">
        <f aca="false">IF(OR(B254="",K254=""),"",IFERROR(K254-B254,"CHECK"))</f>
        <v>7</v>
      </c>
      <c r="N254" s="34" t="n">
        <f aca="false">IFERROR(INDEX(Reference_Lists!$H$13:$H$14,MATCH(G254,Reference_Lists!$G$13:$G$14,0)),"UNMATCHED")</f>
        <v>15</v>
      </c>
      <c r="O254" s="35" t="b">
        <f aca="false">IF(AND(J254="Closed",ISNUMBER(M254),ISNUMBER(N254),M254&gt;=0),M254&lt;=N254,"NOT ASSESSED")</f>
        <v>1</v>
      </c>
      <c r="P254" s="36" t="str">
        <f aca="false">Raw_Data!A263</f>
        <v>CFM-2026-0294</v>
      </c>
      <c r="Q254" s="37" t="str">
        <f aca="false">IFERROR(IF(OR($A254="",$P254=""),"MISSING ID",IF(EXACT($A254,$P254),"ALIGNED","MISMATCH")),"CHECK")</f>
        <v>ALIGNED</v>
      </c>
    </row>
    <row r="255" customFormat="false" ht="19.5" hidden="false" customHeight="true" outlineLevel="0" collapsed="false">
      <c r="A255" s="29" t="s">
        <v>377</v>
      </c>
      <c r="B255" s="30" t="n">
        <f aca="false">IF(Raw_Data!B264="","",IF(ISTEXT(Raw_Data!B264),IFERROR(DATE(VALUE(RIGHT(TRIM(Raw_Data!B264),4)),VALUE(MID(TRIM(Raw_Data!B264),4,2)),VALUE(LEFT(TRIM(Raw_Data!B264),2))),"CHECK"),Raw_Data!B264))</f>
        <v>46085</v>
      </c>
      <c r="C255" s="31" t="str">
        <f aca="false">IFERROR(INDEX(Reference_Lists!$C$23:$C$35,MATCH(PROPER(TRIM(Raw_Data!C264)),Reference_Lists!$B$23:$B$35,0)),"UNMATCHED")</f>
        <v>Community Focal Point</v>
      </c>
      <c r="D255" s="31" t="str">
        <f aca="false">IFERROR(INDEX(Reference_Lists!$C$36:$C$50,MATCH(PROPER(TRIM(Raw_Data!D264)),Reference_Lists!$B$36:$B$50,0)),"UNMATCHED")</f>
        <v>Nuseirat</v>
      </c>
      <c r="E255" s="31" t="str">
        <f aca="false">IF(Raw_Data!E264="","",Raw_Data!E264)</f>
        <v>Health</v>
      </c>
      <c r="F255" s="31" t="str">
        <f aca="false">IF(Raw_Data!F264="","",Raw_Data!F264)</f>
        <v>Request for Information</v>
      </c>
      <c r="G255" s="32" t="str">
        <f aca="false">IF(Raw_Data!G264="","",Raw_Data!G264)</f>
        <v>Non-Sensitive</v>
      </c>
      <c r="H255" s="32" t="str">
        <f aca="false">IFERROR(INDEX(Reference_Lists!$C$51:$C$57,MATCH(PROPER(TRIM(Raw_Data!H264)),Reference_Lists!$B$51:$B$57,0)),"UNMATCHED")</f>
        <v>Female</v>
      </c>
      <c r="I255" s="32" t="str">
        <f aca="false">IF(Raw_Data!I264="","",Raw_Data!I264)</f>
        <v>30-44</v>
      </c>
      <c r="J255" s="32" t="str">
        <f aca="false">IFERROR(INDEX(Reference_Lists!$C$58:$C$65,MATCH(PROPER(TRIM(Raw_Data!J264)),Reference_Lists!$B$58:$B$65,0)),"UNMATCHED")</f>
        <v>Closed</v>
      </c>
      <c r="K255" s="30" t="n">
        <f aca="false">IF(Raw_Data!K264="","",IF(ISTEXT(Raw_Data!K264),IFERROR(DATE(VALUE(RIGHT(TRIM(Raw_Data!K264),4)),VALUE(MID(TRIM(Raw_Data!K264),4,2)),VALUE(LEFT(TRIM(Raw_Data!K264),2))),"CHECK"),Raw_Data!K264))</f>
        <v>46094</v>
      </c>
      <c r="L255" s="33" t="str">
        <f aca="false">IF(Raw_Data!L264="","",Raw_Data!L264)</f>
        <v>Waiting time at the mobile clinic is long during afternoon hours.</v>
      </c>
      <c r="M255" s="34" t="n">
        <f aca="false">IF(OR(B255="",K255=""),"",IFERROR(K255-B255,"CHECK"))</f>
        <v>9</v>
      </c>
      <c r="N255" s="34" t="n">
        <f aca="false">IFERROR(INDEX(Reference_Lists!$H$13:$H$14,MATCH(G255,Reference_Lists!$G$13:$G$14,0)),"UNMATCHED")</f>
        <v>15</v>
      </c>
      <c r="O255" s="35" t="b">
        <f aca="false">IF(AND(J255="Closed",ISNUMBER(M255),ISNUMBER(N255),M255&gt;=0),M255&lt;=N255,"NOT ASSESSED")</f>
        <v>1</v>
      </c>
      <c r="P255" s="36" t="str">
        <f aca="false">Raw_Data!A264</f>
        <v>CFM-2026-0448</v>
      </c>
      <c r="Q255" s="37" t="str">
        <f aca="false">IFERROR(IF(OR($A255="",$P255=""),"MISSING ID",IF(EXACT($A255,$P255),"ALIGNED","MISMATCH")),"CHECK")</f>
        <v>ALIGNED</v>
      </c>
    </row>
    <row r="256" customFormat="false" ht="19.5" hidden="false" customHeight="true" outlineLevel="0" collapsed="false">
      <c r="A256" s="29" t="s">
        <v>378</v>
      </c>
      <c r="B256" s="30" t="n">
        <f aca="false">IF(Raw_Data!B265="","",IF(ISTEXT(Raw_Data!B265),IFERROR(DATE(VALUE(RIGHT(TRIM(Raw_Data!B265),4)),VALUE(MID(TRIM(Raw_Data!B265),4,2)),VALUE(LEFT(TRIM(Raw_Data!B265),2))),"CHECK"),Raw_Data!B265))</f>
        <v>46054</v>
      </c>
      <c r="C256" s="31" t="str">
        <f aca="false">IFERROR(INDEX(Reference_Lists!$C$23:$C$35,MATCH(PROPER(TRIM(Raw_Data!C265)),Reference_Lists!$B$23:$B$35,0)),"UNMATCHED")</f>
        <v>Phone Hotline</v>
      </c>
      <c r="D256" s="31" t="str">
        <f aca="false">IFERROR(INDEX(Reference_Lists!$C$36:$C$50,MATCH(PROPER(TRIM(Raw_Data!D265)),Reference_Lists!$B$36:$B$50,0)),"UNMATCHED")</f>
        <v>Jabalia</v>
      </c>
      <c r="E256" s="31" t="str">
        <f aca="false">IF(Raw_Data!E265="","",Raw_Data!E265)</f>
        <v/>
      </c>
      <c r="F256" s="31" t="str">
        <f aca="false">IF(Raw_Data!F265="","",Raw_Data!F265)</f>
        <v>Sensitive Complaint</v>
      </c>
      <c r="G256" s="32" t="str">
        <f aca="false">IF(Raw_Data!G265="","",Raw_Data!G265)</f>
        <v>Sensitive</v>
      </c>
      <c r="H256" s="32" t="str">
        <f aca="false">IFERROR(INDEX(Reference_Lists!$C$51:$C$57,MATCH(PROPER(TRIM(Raw_Data!H265)),Reference_Lists!$B$51:$B$57,0)),"UNMATCHED")</f>
        <v>Female</v>
      </c>
      <c r="I256" s="32" t="str">
        <f aca="false">IF(Raw_Data!I265="","",Raw_Data!I265)</f>
        <v>45-59</v>
      </c>
      <c r="J256" s="32" t="str">
        <f aca="false">IFERROR(INDEX(Reference_Lists!$C$58:$C$65,MATCH(PROPER(TRIM(Raw_Data!J265)),Reference_Lists!$B$58:$B$65,0)),"UNMATCHED")</f>
        <v>Closed</v>
      </c>
      <c r="K256" s="30" t="n">
        <f aca="false">IF(Raw_Data!K265="","",IF(ISTEXT(Raw_Data!K265),IFERROR(DATE(VALUE(RIGHT(TRIM(Raw_Data!K265),4)),VALUE(MID(TRIM(Raw_Data!K265),4,2)),VALUE(LEFT(TRIM(Raw_Data!K265),2))),"CHECK"),Raw_Data!K265))</f>
        <v>46071</v>
      </c>
      <c r="L256" s="33" t="str">
        <f aca="false">IF(Raw_Data!L265="","",Raw_Data!L265)</f>
        <v>Sensitive case - details recorded separately by the focal point; not stored in this tracker.</v>
      </c>
      <c r="M256" s="34" t="n">
        <f aca="false">IF(OR(B256="",K256=""),"",IFERROR(K256-B256,"CHECK"))</f>
        <v>17</v>
      </c>
      <c r="N256" s="34" t="n">
        <f aca="false">IFERROR(INDEX(Reference_Lists!$H$13:$H$14,MATCH(G256,Reference_Lists!$G$13:$G$14,0)),"UNMATCHED")</f>
        <v>3</v>
      </c>
      <c r="O256" s="35" t="b">
        <f aca="false">IF(AND(J256="Closed",ISNUMBER(M256),ISNUMBER(N256),M256&gt;=0),M256&lt;=N256,"NOT ASSESSED")</f>
        <v>0</v>
      </c>
      <c r="P256" s="36" t="str">
        <f aca="false">Raw_Data!A265</f>
        <v>CFM-2026-0153</v>
      </c>
      <c r="Q256" s="37" t="str">
        <f aca="false">IFERROR(IF(OR($A256="",$P256=""),"MISSING ID",IF(EXACT($A256,$P256),"ALIGNED","MISMATCH")),"CHECK")</f>
        <v>ALIGNED</v>
      </c>
    </row>
    <row r="257" customFormat="false" ht="19.5" hidden="false" customHeight="true" outlineLevel="0" collapsed="false">
      <c r="A257" s="29" t="s">
        <v>379</v>
      </c>
      <c r="B257" s="30" t="n">
        <f aca="false">IF(Raw_Data!B266="","",IF(ISTEXT(Raw_Data!B266),IFERROR(DATE(VALUE(RIGHT(TRIM(Raw_Data!B266),4)),VALUE(MID(TRIM(Raw_Data!B266),4,2)),VALUE(LEFT(TRIM(Raw_Data!B266),2))),"CHECK"),Raw_Data!B266))</f>
        <v>46111</v>
      </c>
      <c r="C257" s="31" t="str">
        <f aca="false">IFERROR(INDEX(Reference_Lists!$C$23:$C$35,MATCH(PROPER(TRIM(Raw_Data!C266)),Reference_Lists!$B$23:$B$35,0)),"UNMATCHED")</f>
        <v>Phone Hotline</v>
      </c>
      <c r="D257" s="31" t="str">
        <f aca="false">IFERROR(INDEX(Reference_Lists!$C$36:$C$50,MATCH(PROPER(TRIM(Raw_Data!D266)),Reference_Lists!$B$36:$B$50,0)),"UNMATCHED")</f>
        <v>Nuseirat</v>
      </c>
      <c r="E257" s="31" t="str">
        <f aca="false">IF(Raw_Data!E266="","",Raw_Data!E266)</f>
        <v>Nutrition</v>
      </c>
      <c r="F257" s="31" t="str">
        <f aca="false">IF(Raw_Data!F266="","",Raw_Data!F266)</f>
        <v>Complaint</v>
      </c>
      <c r="G257" s="32" t="str">
        <f aca="false">IF(Raw_Data!G266="","",Raw_Data!G266)</f>
        <v>Non-Sensitive</v>
      </c>
      <c r="H257" s="32" t="str">
        <f aca="false">IFERROR(INDEX(Reference_Lists!$C$51:$C$57,MATCH(PROPER(TRIM(Raw_Data!H266)),Reference_Lists!$B$51:$B$57,0)),"UNMATCHED")</f>
        <v>Female</v>
      </c>
      <c r="I257" s="32" t="str">
        <f aca="false">IF(Raw_Data!I266="","",Raw_Data!I266)</f>
        <v>45-59</v>
      </c>
      <c r="J257" s="32" t="str">
        <f aca="false">IFERROR(INDEX(Reference_Lists!$C$58:$C$65,MATCH(PROPER(TRIM(Raw_Data!J266)),Reference_Lists!$B$58:$B$65,0)),"UNMATCHED")</f>
        <v>Open</v>
      </c>
      <c r="K257" s="30" t="str">
        <f aca="false">IF(Raw_Data!K266="","",IF(ISTEXT(Raw_Data!K266),IFERROR(DATE(VALUE(RIGHT(TRIM(Raw_Data!K266),4)),VALUE(MID(TRIM(Raw_Data!K266),4,2)),VALUE(LEFT(TRIM(Raw_Data!K266),2))),"CHECK"),Raw_Data!K266))</f>
        <v/>
      </c>
      <c r="L257" s="33" t="str">
        <f aca="false">IF(Raw_Data!L266="","",Raw_Data!L266)</f>
        <v>Supplement was received but the guidance sheet was in English only.</v>
      </c>
      <c r="M257" s="34" t="str">
        <f aca="false">IF(OR(B257="",K257=""),"",IFERROR(K257-B257,"CHECK"))</f>
        <v/>
      </c>
      <c r="N257" s="34" t="n">
        <f aca="false">IFERROR(INDEX(Reference_Lists!$H$13:$H$14,MATCH(G257,Reference_Lists!$G$13:$G$14,0)),"UNMATCHED")</f>
        <v>15</v>
      </c>
      <c r="O257" s="32" t="str">
        <f aca="false">IF(AND(J257="Closed",ISNUMBER(M257),ISNUMBER(N257),M257&gt;=0),M257&lt;=N257,"NOT ASSESSED")</f>
        <v>NOT ASSESSED</v>
      </c>
      <c r="P257" s="36" t="str">
        <f aca="false">Raw_Data!A266</f>
        <v>CFM-2026-0038</v>
      </c>
      <c r="Q257" s="37" t="str">
        <f aca="false">IFERROR(IF(OR($A257="",$P257=""),"MISSING ID",IF(EXACT($A257,$P257),"ALIGNED","MISMATCH")),"CHECK")</f>
        <v>ALIGNED</v>
      </c>
    </row>
    <row r="258" customFormat="false" ht="19.5" hidden="false" customHeight="true" outlineLevel="0" collapsed="false">
      <c r="A258" s="29" t="s">
        <v>380</v>
      </c>
      <c r="B258" s="30" t="n">
        <f aca="false">IF(Raw_Data!B267="","",IF(ISTEXT(Raw_Data!B267),IFERROR(DATE(VALUE(RIGHT(TRIM(Raw_Data!B267),4)),VALUE(MID(TRIM(Raw_Data!B267),4,2)),VALUE(LEFT(TRIM(Raw_Data!B267),2))),"CHECK"),Raw_Data!B267))</f>
        <v>46027</v>
      </c>
      <c r="C258" s="31" t="str">
        <f aca="false">IFERROR(INDEX(Reference_Lists!$C$23:$C$35,MATCH(PROPER(TRIM(Raw_Data!C267)),Reference_Lists!$B$23:$B$35,0)),"UNMATCHED")</f>
        <v>Suggestion Box</v>
      </c>
      <c r="D258" s="31" t="str">
        <f aca="false">IFERROR(INDEX(Reference_Lists!$C$36:$C$50,MATCH(PROPER(TRIM(Raw_Data!D267)),Reference_Lists!$B$36:$B$50,0)),"UNMATCHED")</f>
        <v>Deir al-Balah</v>
      </c>
      <c r="E258" s="31" t="str">
        <f aca="false">IF(Raw_Data!E267="","",Raw_Data!E267)</f>
        <v>Food Security</v>
      </c>
      <c r="F258" s="31" t="str">
        <f aca="false">IF(Raw_Data!F267="","",Raw_Data!F267)</f>
        <v>Complaint</v>
      </c>
      <c r="G258" s="32" t="str">
        <f aca="false">IF(Raw_Data!G267="","",Raw_Data!G267)</f>
        <v/>
      </c>
      <c r="H258" s="32" t="str">
        <f aca="false">IFERROR(INDEX(Reference_Lists!$C$51:$C$57,MATCH(PROPER(TRIM(Raw_Data!H267)),Reference_Lists!$B$51:$B$57,0)),"UNMATCHED")</f>
        <v>Female</v>
      </c>
      <c r="I258" s="32" t="str">
        <f aca="false">IF(Raw_Data!I267="","",Raw_Data!I267)</f>
        <v>45-59</v>
      </c>
      <c r="J258" s="32" t="str">
        <f aca="false">IFERROR(INDEX(Reference_Lists!$C$58:$C$65,MATCH(PROPER(TRIM(Raw_Data!J267)),Reference_Lists!$B$58:$B$65,0)),"UNMATCHED")</f>
        <v>Open</v>
      </c>
      <c r="K258" s="30" t="str">
        <f aca="false">IF(Raw_Data!K267="","",IF(ISTEXT(Raw_Data!K267),IFERROR(DATE(VALUE(RIGHT(TRIM(Raw_Data!K267),4)),VALUE(MID(TRIM(Raw_Data!K267),4,2)),VALUE(LEFT(TRIM(Raw_Data!K267),2))),"CHECK"),Raw_Data!K267))</f>
        <v/>
      </c>
      <c r="L258" s="33" t="str">
        <f aca="false">IF(Raw_Data!L267="","",Raw_Data!L267)</f>
        <v>Asking how the beneficiary list for the next round is prepared.</v>
      </c>
      <c r="M258" s="34" t="str">
        <f aca="false">IF(OR(B258="",K258=""),"",IFERROR(K258-B258,"CHECK"))</f>
        <v/>
      </c>
      <c r="N258" s="34" t="str">
        <f aca="false">IFERROR(INDEX(Reference_Lists!$H$13:$H$14,MATCH(G258,Reference_Lists!$G$13:$G$14,0)),"UNMATCHED")</f>
        <v>UNMATCHED</v>
      </c>
      <c r="O258" s="32" t="str">
        <f aca="false">IF(AND(J258="Closed",ISNUMBER(M258),ISNUMBER(N258),M258&gt;=0),M258&lt;=N258,"NOT ASSESSED")</f>
        <v>NOT ASSESSED</v>
      </c>
      <c r="P258" s="36" t="str">
        <f aca="false">Raw_Data!A267</f>
        <v>CFM-2026-0157</v>
      </c>
      <c r="Q258" s="37" t="str">
        <f aca="false">IFERROR(IF(OR($A258="",$P258=""),"MISSING ID",IF(EXACT($A258,$P258),"ALIGNED","MISMATCH")),"CHECK")</f>
        <v>ALIGNED</v>
      </c>
    </row>
    <row r="259" customFormat="false" ht="19.5" hidden="false" customHeight="true" outlineLevel="0" collapsed="false">
      <c r="A259" s="29" t="s">
        <v>381</v>
      </c>
      <c r="B259" s="30" t="n">
        <f aca="false">IF(Raw_Data!B268="","",IF(ISTEXT(Raw_Data!B268),IFERROR(DATE(VALUE(RIGHT(TRIM(Raw_Data!B268),4)),VALUE(MID(TRIM(Raw_Data!B268),4,2)),VALUE(LEFT(TRIM(Raw_Data!B268),2))),"CHECK"),Raw_Data!B268))</f>
        <v>46089</v>
      </c>
      <c r="C259" s="31" t="str">
        <f aca="false">IFERROR(INDEX(Reference_Lists!$C$23:$C$35,MATCH(PROPER(TRIM(Raw_Data!C268)),Reference_Lists!$B$23:$B$35,0)),"UNMATCHED")</f>
        <v>Community Focal Point</v>
      </c>
      <c r="D259" s="31" t="str">
        <f aca="false">IFERROR(INDEX(Reference_Lists!$C$36:$C$50,MATCH(PROPER(TRIM(Raw_Data!D268)),Reference_Lists!$B$36:$B$50,0)),"UNMATCHED")</f>
        <v>Deir al-Balah</v>
      </c>
      <c r="E259" s="31" t="str">
        <f aca="false">IF(Raw_Data!E268="","",Raw_Data!E268)</f>
        <v>Nutrition</v>
      </c>
      <c r="F259" s="31" t="str">
        <f aca="false">IF(Raw_Data!F268="","",Raw_Data!F268)</f>
        <v>Request for Information</v>
      </c>
      <c r="G259" s="32" t="str">
        <f aca="false">IF(Raw_Data!G268="","",Raw_Data!G268)</f>
        <v>Non-Sensitive</v>
      </c>
      <c r="H259" s="32" t="str">
        <f aca="false">IFERROR(INDEX(Reference_Lists!$C$51:$C$57,MATCH(PROPER(TRIM(Raw_Data!H268)),Reference_Lists!$B$51:$B$57,0)),"UNMATCHED")</f>
        <v>Male</v>
      </c>
      <c r="I259" s="32" t="str">
        <f aca="false">IF(Raw_Data!I268="","",Raw_Data!I268)</f>
        <v>18-29</v>
      </c>
      <c r="J259" s="32" t="str">
        <f aca="false">IFERROR(INDEX(Reference_Lists!$C$58:$C$65,MATCH(PROPER(TRIM(Raw_Data!J268)),Reference_Lists!$B$58:$B$65,0)),"UNMATCHED")</f>
        <v>Closed</v>
      </c>
      <c r="K259" s="30" t="n">
        <f aca="false">IF(Raw_Data!K268="","",IF(ISTEXT(Raw_Data!K268),IFERROR(DATE(VALUE(RIGHT(TRIM(Raw_Data!K268),4)),VALUE(MID(TRIM(Raw_Data!K268),4,2)),VALUE(LEFT(TRIM(Raw_Data!K268),2))),"CHECK"),Raw_Data!K268))</f>
        <v>46109</v>
      </c>
      <c r="L259" s="33" t="str">
        <f aca="false">IF(Raw_Data!L268="","",Raw_Data!L268)</f>
        <v>Requesting a screening session closer to the northern shelter.</v>
      </c>
      <c r="M259" s="34" t="n">
        <f aca="false">IF(OR(B259="",K259=""),"",IFERROR(K259-B259,"CHECK"))</f>
        <v>20</v>
      </c>
      <c r="N259" s="34" t="n">
        <f aca="false">IFERROR(INDEX(Reference_Lists!$H$13:$H$14,MATCH(G259,Reference_Lists!$G$13:$G$14,0)),"UNMATCHED")</f>
        <v>15</v>
      </c>
      <c r="O259" s="35" t="b">
        <f aca="false">IF(AND(J259="Closed",ISNUMBER(M259),ISNUMBER(N259),M259&gt;=0),M259&lt;=N259,"NOT ASSESSED")</f>
        <v>0</v>
      </c>
      <c r="P259" s="36" t="str">
        <f aca="false">Raw_Data!A268</f>
        <v>CFM-2026-0445</v>
      </c>
      <c r="Q259" s="37" t="str">
        <f aca="false">IFERROR(IF(OR($A259="",$P259=""),"MISSING ID",IF(EXACT($A259,$P259),"ALIGNED","MISMATCH")),"CHECK")</f>
        <v>ALIGNED</v>
      </c>
    </row>
    <row r="260" customFormat="false" ht="19.5" hidden="false" customHeight="true" outlineLevel="0" collapsed="false">
      <c r="A260" s="29" t="s">
        <v>382</v>
      </c>
      <c r="B260" s="30" t="n">
        <f aca="false">IF(Raw_Data!B269="","",IF(ISTEXT(Raw_Data!B269),IFERROR(DATE(VALUE(RIGHT(TRIM(Raw_Data!B269),4)),VALUE(MID(TRIM(Raw_Data!B269),4,2)),VALUE(LEFT(TRIM(Raw_Data!B269),2))),"CHECK"),Raw_Data!B269))</f>
        <v>46089</v>
      </c>
      <c r="C260" s="31" t="str">
        <f aca="false">IFERROR(INDEX(Reference_Lists!$C$23:$C$35,MATCH(PROPER(TRIM(Raw_Data!C269)),Reference_Lists!$B$23:$B$35,0)),"UNMATCHED")</f>
        <v>Community Focal Point</v>
      </c>
      <c r="D260" s="31" t="str">
        <f aca="false">IFERROR(INDEX(Reference_Lists!$C$36:$C$50,MATCH(PROPER(TRIM(Raw_Data!D269)),Reference_Lists!$B$36:$B$50,0)),"UNMATCHED")</f>
        <v>Jabalia</v>
      </c>
      <c r="E260" s="31" t="str">
        <f aca="false">IF(Raw_Data!E269="","",Raw_Data!E269)</f>
        <v>Health</v>
      </c>
      <c r="F260" s="31" t="str">
        <f aca="false">IF(Raw_Data!F269="","",Raw_Data!F269)</f>
        <v>Sensitive Complaint</v>
      </c>
      <c r="G260" s="32" t="str">
        <f aca="false">IF(Raw_Data!G269="","",Raw_Data!G269)</f>
        <v>Sensitive</v>
      </c>
      <c r="H260" s="32" t="str">
        <f aca="false">IFERROR(INDEX(Reference_Lists!$C$51:$C$57,MATCH(PROPER(TRIM(Raw_Data!H269)),Reference_Lists!$B$51:$B$57,0)),"UNMATCHED")</f>
        <v>Male</v>
      </c>
      <c r="I260" s="32" t="str">
        <f aca="false">IF(Raw_Data!I269="","",Raw_Data!I269)</f>
        <v>60+</v>
      </c>
      <c r="J260" s="32" t="str">
        <f aca="false">IFERROR(INDEX(Reference_Lists!$C$58:$C$65,MATCH(PROPER(TRIM(Raw_Data!J269)),Reference_Lists!$B$58:$B$65,0)),"UNMATCHED")</f>
        <v>Referred</v>
      </c>
      <c r="K260" s="30" t="str">
        <f aca="false">IF(Raw_Data!K269="","",IF(ISTEXT(Raw_Data!K269),IFERROR(DATE(VALUE(RIGHT(TRIM(Raw_Data!K269),4)),VALUE(MID(TRIM(Raw_Data!K269),4,2)),VALUE(LEFT(TRIM(Raw_Data!K269),2))),"CHECK"),Raw_Data!K269))</f>
        <v/>
      </c>
      <c r="L260" s="33" t="str">
        <f aca="false">IF(Raw_Data!L269="","",Raw_Data!L269)</f>
        <v>Sensitive case - details recorded separately by the focal point; not stored in this tracker.</v>
      </c>
      <c r="M260" s="34" t="str">
        <f aca="false">IF(OR(B260="",K260=""),"",IFERROR(K260-B260,"CHECK"))</f>
        <v/>
      </c>
      <c r="N260" s="34" t="n">
        <f aca="false">IFERROR(INDEX(Reference_Lists!$H$13:$H$14,MATCH(G260,Reference_Lists!$G$13:$G$14,0)),"UNMATCHED")</f>
        <v>3</v>
      </c>
      <c r="O260" s="32" t="str">
        <f aca="false">IF(AND(J260="Closed",ISNUMBER(M260),ISNUMBER(N260),M260&gt;=0),M260&lt;=N260,"NOT ASSESSED")</f>
        <v>NOT ASSESSED</v>
      </c>
      <c r="P260" s="36" t="str">
        <f aca="false">Raw_Data!A269</f>
        <v>CFM-2026-0175</v>
      </c>
      <c r="Q260" s="37" t="str">
        <f aca="false">IFERROR(IF(OR($A260="",$P260=""),"MISSING ID",IF(EXACT($A260,$P260),"ALIGNED","MISMATCH")),"CHECK")</f>
        <v>ALIGNED</v>
      </c>
    </row>
    <row r="261" customFormat="false" ht="19.5" hidden="false" customHeight="true" outlineLevel="0" collapsed="false">
      <c r="A261" s="29" t="s">
        <v>383</v>
      </c>
      <c r="B261" s="30" t="n">
        <f aca="false">IF(Raw_Data!B270="","",IF(ISTEXT(Raw_Data!B270),IFERROR(DATE(VALUE(RIGHT(TRIM(Raw_Data!B270),4)),VALUE(MID(TRIM(Raw_Data!B270),4,2)),VALUE(LEFT(TRIM(Raw_Data!B270),2))),"CHECK"),Raw_Data!B270))</f>
        <v>46115</v>
      </c>
      <c r="C261" s="31" t="str">
        <f aca="false">IFERROR(INDEX(Reference_Lists!$C$23:$C$35,MATCH(PROPER(TRIM(Raw_Data!C270)),Reference_Lists!$B$23:$B$35,0)),"UNMATCHED")</f>
        <v>In-Person at Distribution</v>
      </c>
      <c r="D261" s="31" t="str">
        <f aca="false">IFERROR(INDEX(Reference_Lists!$C$36:$C$50,MATCH(PROPER(TRIM(Raw_Data!D270)),Reference_Lists!$B$36:$B$50,0)),"UNMATCHED")</f>
        <v>Khan Yunis</v>
      </c>
      <c r="E261" s="31" t="str">
        <f aca="false">IF(Raw_Data!E270="","",Raw_Data!E270)</f>
        <v>Shelter</v>
      </c>
      <c r="F261" s="31" t="str">
        <f aca="false">IF(Raw_Data!F270="","",Raw_Data!F270)</f>
        <v>Appreciation</v>
      </c>
      <c r="G261" s="32" t="str">
        <f aca="false">IF(Raw_Data!G270="","",Raw_Data!G270)</f>
        <v>Non-Sensitive</v>
      </c>
      <c r="H261" s="32" t="str">
        <f aca="false">IFERROR(INDEX(Reference_Lists!$C$51:$C$57,MATCH(PROPER(TRIM(Raw_Data!H270)),Reference_Lists!$B$51:$B$57,0)),"UNMATCHED")</f>
        <v>Female</v>
      </c>
      <c r="I261" s="32" t="str">
        <f aca="false">IF(Raw_Data!I270="","",Raw_Data!I270)</f>
        <v>30-44</v>
      </c>
      <c r="J261" s="32" t="str">
        <f aca="false">IFERROR(INDEX(Reference_Lists!$C$58:$C$65,MATCH(PROPER(TRIM(Raw_Data!J270)),Reference_Lists!$B$58:$B$65,0)),"UNMATCHED")</f>
        <v>Closed</v>
      </c>
      <c r="K261" s="30" t="n">
        <f aca="false">IF(Raw_Data!K270="","",IF(ISTEXT(Raw_Data!K270),IFERROR(DATE(VALUE(RIGHT(TRIM(Raw_Data!K270),4)),VALUE(MID(TRIM(Raw_Data!K270),4,2)),VALUE(LEFT(TRIM(Raw_Data!K270),2))),"CHECK"),Raw_Data!K270))</f>
        <v>46129</v>
      </c>
      <c r="L261" s="33" t="str">
        <f aca="false">IF(Raw_Data!L270="","",Raw_Data!L270)</f>
        <v>Shelter kit delivered on time and the team explained the use clearly.</v>
      </c>
      <c r="M261" s="34" t="n">
        <f aca="false">IF(OR(B261="",K261=""),"",IFERROR(K261-B261,"CHECK"))</f>
        <v>14</v>
      </c>
      <c r="N261" s="34" t="n">
        <f aca="false">IFERROR(INDEX(Reference_Lists!$H$13:$H$14,MATCH(G261,Reference_Lists!$G$13:$G$14,0)),"UNMATCHED")</f>
        <v>15</v>
      </c>
      <c r="O261" s="35" t="b">
        <f aca="false">IF(AND(J261="Closed",ISNUMBER(M261),ISNUMBER(N261),M261&gt;=0),M261&lt;=N261,"NOT ASSESSED")</f>
        <v>1</v>
      </c>
      <c r="P261" s="36" t="str">
        <f aca="false">Raw_Data!A270</f>
        <v>CFM-2026-0156</v>
      </c>
      <c r="Q261" s="37" t="str">
        <f aca="false">IFERROR(IF(OR($A261="",$P261=""),"MISSING ID",IF(EXACT($A261,$P261),"ALIGNED","MISMATCH")),"CHECK")</f>
        <v>ALIGNED</v>
      </c>
    </row>
    <row r="262" customFormat="false" ht="19.5" hidden="false" customHeight="true" outlineLevel="0" collapsed="false">
      <c r="A262" s="29" t="s">
        <v>384</v>
      </c>
      <c r="B262" s="30" t="n">
        <f aca="false">IF(Raw_Data!B271="","",IF(ISTEXT(Raw_Data!B271),IFERROR(DATE(VALUE(RIGHT(TRIM(Raw_Data!B271),4)),VALUE(MID(TRIM(Raw_Data!B271),4,2)),VALUE(LEFT(TRIM(Raw_Data!B271),2))),"CHECK"),Raw_Data!B271))</f>
        <v>46201</v>
      </c>
      <c r="C262" s="31" t="str">
        <f aca="false">IFERROR(INDEX(Reference_Lists!$C$23:$C$35,MATCH(PROPER(TRIM(Raw_Data!C271)),Reference_Lists!$B$23:$B$35,0)),"UNMATCHED")</f>
        <v>Phone Hotline</v>
      </c>
      <c r="D262" s="31" t="str">
        <f aca="false">IFERROR(INDEX(Reference_Lists!$C$36:$C$50,MATCH(PROPER(TRIM(Raw_Data!D271)),Reference_Lists!$B$36:$B$50,0)),"UNMATCHED")</f>
        <v>Nuseirat</v>
      </c>
      <c r="E262" s="31" t="str">
        <f aca="false">IF(Raw_Data!E271="","",Raw_Data!E271)</f>
        <v>Shelter</v>
      </c>
      <c r="F262" s="31" t="str">
        <f aca="false">IF(Raw_Data!F271="","",Raw_Data!F271)</f>
        <v>Appreciation</v>
      </c>
      <c r="G262" s="32" t="str">
        <f aca="false">IF(Raw_Data!G271="","",Raw_Data!G271)</f>
        <v>Non-Sensitive</v>
      </c>
      <c r="H262" s="32" t="str">
        <f aca="false">IFERROR(INDEX(Reference_Lists!$C$51:$C$57,MATCH(PROPER(TRIM(Raw_Data!H271)),Reference_Lists!$B$51:$B$57,0)),"UNMATCHED")</f>
        <v>Female</v>
      </c>
      <c r="I262" s="32" t="str">
        <f aca="false">IF(Raw_Data!I271="","",Raw_Data!I271)</f>
        <v>Under 18</v>
      </c>
      <c r="J262" s="32" t="str">
        <f aca="false">IFERROR(INDEX(Reference_Lists!$C$58:$C$65,MATCH(PROPER(TRIM(Raw_Data!J271)),Reference_Lists!$B$58:$B$65,0)),"UNMATCHED")</f>
        <v>In Progress</v>
      </c>
      <c r="K262" s="30" t="str">
        <f aca="false">IF(Raw_Data!K271="","",IF(ISTEXT(Raw_Data!K271),IFERROR(DATE(VALUE(RIGHT(TRIM(Raw_Data!K271),4)),VALUE(MID(TRIM(Raw_Data!K271),4,2)),VALUE(LEFT(TRIM(Raw_Data!K271),2))),"CHECK"),Raw_Data!K271))</f>
        <v/>
      </c>
      <c r="L262" s="33" t="str">
        <f aca="false">IF(Raw_Data!L271="","",Raw_Data!L271)</f>
        <v>Shelter kit delivered on time and the team explained the use clearly.</v>
      </c>
      <c r="M262" s="34" t="str">
        <f aca="false">IF(OR(B262="",K262=""),"",IFERROR(K262-B262,"CHECK"))</f>
        <v/>
      </c>
      <c r="N262" s="34" t="n">
        <f aca="false">IFERROR(INDEX(Reference_Lists!$H$13:$H$14,MATCH(G262,Reference_Lists!$G$13:$G$14,0)),"UNMATCHED")</f>
        <v>15</v>
      </c>
      <c r="O262" s="32" t="str">
        <f aca="false">IF(AND(J262="Closed",ISNUMBER(M262),ISNUMBER(N262),M262&gt;=0),M262&lt;=N262,"NOT ASSESSED")</f>
        <v>NOT ASSESSED</v>
      </c>
      <c r="P262" s="36" t="str">
        <f aca="false">Raw_Data!A271</f>
        <v>CFM-2026-0341</v>
      </c>
      <c r="Q262" s="37" t="str">
        <f aca="false">IFERROR(IF(OR($A262="",$P262=""),"MISSING ID",IF(EXACT($A262,$P262),"ALIGNED","MISMATCH")),"CHECK")</f>
        <v>ALIGNED</v>
      </c>
    </row>
    <row r="263" customFormat="false" ht="19.5" hidden="false" customHeight="true" outlineLevel="0" collapsed="false">
      <c r="A263" s="29" t="s">
        <v>385</v>
      </c>
      <c r="B263" s="30" t="n">
        <f aca="false">IF(Raw_Data!B272="","",IF(ISTEXT(Raw_Data!B272),IFERROR(DATE(VALUE(RIGHT(TRIM(Raw_Data!B272),4)),VALUE(MID(TRIM(Raw_Data!B272),4,2)),VALUE(LEFT(TRIM(Raw_Data!B272),2))),"CHECK"),Raw_Data!B272))</f>
        <v>46210</v>
      </c>
      <c r="C263" s="31" t="str">
        <f aca="false">IFERROR(INDEX(Reference_Lists!$C$23:$C$35,MATCH(PROPER(TRIM(Raw_Data!C272)),Reference_Lists!$B$23:$B$35,0)),"UNMATCHED")</f>
        <v>Phone Hotline</v>
      </c>
      <c r="D263" s="31" t="str">
        <f aca="false">IFERROR(INDEX(Reference_Lists!$C$36:$C$50,MATCH(PROPER(TRIM(Raw_Data!D272)),Reference_Lists!$B$36:$B$50,0)),"UNMATCHED")</f>
        <v>Nuseirat</v>
      </c>
      <c r="E263" s="31" t="str">
        <f aca="false">IF(Raw_Data!E272="","",Raw_Data!E272)</f>
        <v>Food Security</v>
      </c>
      <c r="F263" s="31" t="str">
        <f aca="false">IF(Raw_Data!F272="","",Raw_Data!F272)</f>
        <v>Sensitive Complaint</v>
      </c>
      <c r="G263" s="32" t="str">
        <f aca="false">IF(Raw_Data!G272="","",Raw_Data!G272)</f>
        <v>Sensitive</v>
      </c>
      <c r="H263" s="32" t="str">
        <f aca="false">IFERROR(INDEX(Reference_Lists!$C$51:$C$57,MATCH(PROPER(TRIM(Raw_Data!H272)),Reference_Lists!$B$51:$B$57,0)),"UNMATCHED")</f>
        <v>Female</v>
      </c>
      <c r="I263" s="32" t="str">
        <f aca="false">IF(Raw_Data!I272="","",Raw_Data!I272)</f>
        <v>45-59</v>
      </c>
      <c r="J263" s="32" t="str">
        <f aca="false">IFERROR(INDEX(Reference_Lists!$C$58:$C$65,MATCH(PROPER(TRIM(Raw_Data!J272)),Reference_Lists!$B$58:$B$65,0)),"UNMATCHED")</f>
        <v>Closed</v>
      </c>
      <c r="K263" s="30" t="n">
        <f aca="false">IF(Raw_Data!K272="","",IF(ISTEXT(Raw_Data!K272),IFERROR(DATE(VALUE(RIGHT(TRIM(Raw_Data!K272),4)),VALUE(MID(TRIM(Raw_Data!K272),4,2)),VALUE(LEFT(TRIM(Raw_Data!K272),2))),"CHECK"),Raw_Data!K272))</f>
        <v>46237</v>
      </c>
      <c r="L263" s="33" t="str">
        <f aca="false">IF(Raw_Data!L272="","",Raw_Data!L272)</f>
        <v>Sensitive case - details recorded separately by the focal point; not stored in this tracker.</v>
      </c>
      <c r="M263" s="34" t="n">
        <f aca="false">IF(OR(B263="",K263=""),"",IFERROR(K263-B263,"CHECK"))</f>
        <v>27</v>
      </c>
      <c r="N263" s="34" t="n">
        <f aca="false">IFERROR(INDEX(Reference_Lists!$H$13:$H$14,MATCH(G263,Reference_Lists!$G$13:$G$14,0)),"UNMATCHED")</f>
        <v>3</v>
      </c>
      <c r="O263" s="35" t="b">
        <f aca="false">IF(AND(J263="Closed",ISNUMBER(M263),ISNUMBER(N263),M263&gt;=0),M263&lt;=N263,"NOT ASSESSED")</f>
        <v>0</v>
      </c>
      <c r="P263" s="36" t="str">
        <f aca="false">Raw_Data!A272</f>
        <v>CFM-2026-0159</v>
      </c>
      <c r="Q263" s="37" t="str">
        <f aca="false">IFERROR(IF(OR($A263="",$P263=""),"MISSING ID",IF(EXACT($A263,$P263),"ALIGNED","MISMATCH")),"CHECK")</f>
        <v>ALIGNED</v>
      </c>
    </row>
    <row r="264" customFormat="false" ht="19.5" hidden="false" customHeight="true" outlineLevel="0" collapsed="false">
      <c r="A264" s="29" t="s">
        <v>386</v>
      </c>
      <c r="B264" s="30" t="n">
        <f aca="false">IF(Raw_Data!B273="","",IF(ISTEXT(Raw_Data!B273),IFERROR(DATE(VALUE(RIGHT(TRIM(Raw_Data!B273),4)),VALUE(MID(TRIM(Raw_Data!B273),4,2)),VALUE(LEFT(TRIM(Raw_Data!B273),2))),"CHECK"),Raw_Data!B273))</f>
        <v>46027</v>
      </c>
      <c r="C264" s="31" t="str">
        <f aca="false">IFERROR(INDEX(Reference_Lists!$C$23:$C$35,MATCH(PROPER(TRIM(Raw_Data!C273)),Reference_Lists!$B$23:$B$35,0)),"UNMATCHED")</f>
        <v>Community Focal Point</v>
      </c>
      <c r="D264" s="31" t="str">
        <f aca="false">IFERROR(INDEX(Reference_Lists!$C$36:$C$50,MATCH(PROPER(TRIM(Raw_Data!D273)),Reference_Lists!$B$36:$B$50,0)),"UNMATCHED")</f>
        <v>Deir al-Balah</v>
      </c>
      <c r="E264" s="31" t="str">
        <f aca="false">IF(Raw_Data!E273="","",Raw_Data!E273)</f>
        <v>WASH</v>
      </c>
      <c r="F264" s="31" t="str">
        <f aca="false">IF(Raw_Data!F273="","",Raw_Data!F273)</f>
        <v>Appreciation</v>
      </c>
      <c r="G264" s="32" t="str">
        <f aca="false">IF(Raw_Data!G273="","",Raw_Data!G273)</f>
        <v>Non-Sensitive</v>
      </c>
      <c r="H264" s="32" t="str">
        <f aca="false">IFERROR(INDEX(Reference_Lists!$C$51:$C$57,MATCH(PROPER(TRIM(Raw_Data!H273)),Reference_Lists!$B$51:$B$57,0)),"UNMATCHED")</f>
        <v>Female</v>
      </c>
      <c r="I264" s="32" t="str">
        <f aca="false">IF(Raw_Data!I273="","",Raw_Data!I273)</f>
        <v>30-44</v>
      </c>
      <c r="J264" s="32" t="str">
        <f aca="false">IFERROR(INDEX(Reference_Lists!$C$58:$C$65,MATCH(PROPER(TRIM(Raw_Data!J273)),Reference_Lists!$B$58:$B$65,0)),"UNMATCHED")</f>
        <v>Open</v>
      </c>
      <c r="K264" s="30" t="str">
        <f aca="false">IF(Raw_Data!K273="","",IF(ISTEXT(Raw_Data!K273),IFERROR(DATE(VALUE(RIGHT(TRIM(Raw_Data!K273),4)),VALUE(MID(TRIM(Raw_Data!K273),4,2)),VALUE(LEFT(TRIM(Raw_Data!K273),2))),"CHECK"),Raw_Data!K273))</f>
        <v/>
      </c>
      <c r="L264" s="33" t="str">
        <f aca="false">IF(Raw_Data!L273="","",Raw_Data!L273)</f>
        <v>The queue at the water point is not organised and older people cannot wait.</v>
      </c>
      <c r="M264" s="34" t="str">
        <f aca="false">IF(OR(B264="",K264=""),"",IFERROR(K264-B264,"CHECK"))</f>
        <v/>
      </c>
      <c r="N264" s="34" t="n">
        <f aca="false">IFERROR(INDEX(Reference_Lists!$H$13:$H$14,MATCH(G264,Reference_Lists!$G$13:$G$14,0)),"UNMATCHED")</f>
        <v>15</v>
      </c>
      <c r="O264" s="32" t="str">
        <f aca="false">IF(AND(J264="Closed",ISNUMBER(M264),ISNUMBER(N264),M264&gt;=0),M264&lt;=N264,"NOT ASSESSED")</f>
        <v>NOT ASSESSED</v>
      </c>
      <c r="P264" s="36" t="str">
        <f aca="false">Raw_Data!A273</f>
        <v>CFM-2026-0079</v>
      </c>
      <c r="Q264" s="37" t="str">
        <f aca="false">IFERROR(IF(OR($A264="",$P264=""),"MISSING ID",IF(EXACT($A264,$P264),"ALIGNED","MISMATCH")),"CHECK")</f>
        <v>ALIGNED</v>
      </c>
    </row>
    <row r="265" customFormat="false" ht="19.5" hidden="false" customHeight="true" outlineLevel="0" collapsed="false">
      <c r="A265" s="29" t="s">
        <v>387</v>
      </c>
      <c r="B265" s="30" t="n">
        <f aca="false">IF(Raw_Data!B274="","",IF(ISTEXT(Raw_Data!B274),IFERROR(DATE(VALUE(RIGHT(TRIM(Raw_Data!B274),4)),VALUE(MID(TRIM(Raw_Data!B274),4,2)),VALUE(LEFT(TRIM(Raw_Data!B274),2))),"CHECK"),Raw_Data!B274))</f>
        <v>46185</v>
      </c>
      <c r="C265" s="31" t="str">
        <f aca="false">IFERROR(INDEX(Reference_Lists!$C$23:$C$35,MATCH(PROPER(TRIM(Raw_Data!C274)),Reference_Lists!$B$23:$B$35,0)),"UNMATCHED")</f>
        <v>Help Desk</v>
      </c>
      <c r="D265" s="31" t="str">
        <f aca="false">IFERROR(INDEX(Reference_Lists!$C$36:$C$50,MATCH(PROPER(TRIM(Raw_Data!D274)),Reference_Lists!$B$36:$B$50,0)),"UNMATCHED")</f>
        <v>Jabalia</v>
      </c>
      <c r="E265" s="31" t="str">
        <f aca="false">IF(Raw_Data!E274="","",Raw_Data!E274)</f>
        <v>Shelter</v>
      </c>
      <c r="F265" s="31" t="str">
        <f aca="false">IF(Raw_Data!F274="","",Raw_Data!F274)</f>
        <v>Request for Information</v>
      </c>
      <c r="G265" s="32" t="str">
        <f aca="false">IF(Raw_Data!G274="","",Raw_Data!G274)</f>
        <v>Non-Sensitive</v>
      </c>
      <c r="H265" s="32" t="str">
        <f aca="false">IFERROR(INDEX(Reference_Lists!$C$51:$C$57,MATCH(PROPER(TRIM(Raw_Data!H274)),Reference_Lists!$B$51:$B$57,0)),"UNMATCHED")</f>
        <v>Male</v>
      </c>
      <c r="I265" s="32" t="str">
        <f aca="false">IF(Raw_Data!I274="","",Raw_Data!I274)</f>
        <v>30-44</v>
      </c>
      <c r="J265" s="32" t="str">
        <f aca="false">IFERROR(INDEX(Reference_Lists!$C$58:$C$65,MATCH(PROPER(TRIM(Raw_Data!J274)),Reference_Lists!$B$58:$B$65,0)),"UNMATCHED")</f>
        <v>Closed</v>
      </c>
      <c r="K265" s="30" t="n">
        <f aca="false">IF(Raw_Data!K274="","",IF(ISTEXT(Raw_Data!K274),IFERROR(DATE(VALUE(RIGHT(TRIM(Raw_Data!K274),4)),VALUE(MID(TRIM(Raw_Data!K274),4,2)),VALUE(LEFT(TRIM(Raw_Data!K274),2))),"CHECK"),Raw_Data!K274))</f>
        <v>46212</v>
      </c>
      <c r="L265" s="33" t="str">
        <f aca="false">IF(Raw_Data!L274="","",Raw_Data!L274)</f>
        <v>Requesting information about the criteria for shelter repair kits.</v>
      </c>
      <c r="M265" s="34" t="n">
        <f aca="false">IF(OR(B265="",K265=""),"",IFERROR(K265-B265,"CHECK"))</f>
        <v>27</v>
      </c>
      <c r="N265" s="34" t="n">
        <f aca="false">IFERROR(INDEX(Reference_Lists!$H$13:$H$14,MATCH(G265,Reference_Lists!$G$13:$G$14,0)),"UNMATCHED")</f>
        <v>15</v>
      </c>
      <c r="O265" s="35" t="b">
        <f aca="false">IF(AND(J265="Closed",ISNUMBER(M265),ISNUMBER(N265),M265&gt;=0),M265&lt;=N265,"NOT ASSESSED")</f>
        <v>0</v>
      </c>
      <c r="P265" s="36" t="str">
        <f aca="false">Raw_Data!A274</f>
        <v>CFM-2026-0084</v>
      </c>
      <c r="Q265" s="37" t="str">
        <f aca="false">IFERROR(IF(OR($A265="",$P265=""),"MISSING ID",IF(EXACT($A265,$P265),"ALIGNED","MISMATCH")),"CHECK")</f>
        <v>ALIGNED</v>
      </c>
    </row>
    <row r="266" customFormat="false" ht="19.5" hidden="false" customHeight="true" outlineLevel="0" collapsed="false">
      <c r="A266" s="29" t="s">
        <v>388</v>
      </c>
      <c r="B266" s="30" t="n">
        <f aca="false">IF(Raw_Data!B275="","",IF(ISTEXT(Raw_Data!B275),IFERROR(DATE(VALUE(RIGHT(TRIM(Raw_Data!B275),4)),VALUE(MID(TRIM(Raw_Data!B275),4,2)),VALUE(LEFT(TRIM(Raw_Data!B275),2))),"CHECK"),Raw_Data!B275))</f>
        <v>46084</v>
      </c>
      <c r="C266" s="31" t="str">
        <f aca="false">IFERROR(INDEX(Reference_Lists!$C$23:$C$35,MATCH(PROPER(TRIM(Raw_Data!C275)),Reference_Lists!$B$23:$B$35,0)),"UNMATCHED")</f>
        <v>In-Person at Distribution</v>
      </c>
      <c r="D266" s="31" t="str">
        <f aca="false">IFERROR(INDEX(Reference_Lists!$C$36:$C$50,MATCH(PROPER(TRIM(Raw_Data!D275)),Reference_Lists!$B$36:$B$50,0)),"UNMATCHED")</f>
        <v>Nuseirat</v>
      </c>
      <c r="E266" s="31" t="str">
        <f aca="false">IF(Raw_Data!E275="","",Raw_Data!E275)</f>
        <v>WASH</v>
      </c>
      <c r="F266" s="31" t="str">
        <f aca="false">IF(Raw_Data!F275="","",Raw_Data!F275)</f>
        <v>Request for Information</v>
      </c>
      <c r="G266" s="32" t="str">
        <f aca="false">IF(Raw_Data!G275="","",Raw_Data!G275)</f>
        <v>Non-Sensitive</v>
      </c>
      <c r="H266" s="32" t="str">
        <f aca="false">IFERROR(INDEX(Reference_Lists!$C$51:$C$57,MATCH(PROPER(TRIM(Raw_Data!H275)),Reference_Lists!$B$51:$B$57,0)),"UNMATCHED")</f>
        <v>Female</v>
      </c>
      <c r="I266" s="32" t="str">
        <f aca="false">IF(Raw_Data!I275="","",Raw_Data!I275)</f>
        <v>18-29</v>
      </c>
      <c r="J266" s="32" t="str">
        <f aca="false">IFERROR(INDEX(Reference_Lists!$C$58:$C$65,MATCH(PROPER(TRIM(Raw_Data!J275)),Reference_Lists!$B$58:$B$65,0)),"UNMATCHED")</f>
        <v>In Progress</v>
      </c>
      <c r="K266" s="30" t="str">
        <f aca="false">IF(Raw_Data!K275="","",IF(ISTEXT(Raw_Data!K275),IFERROR(DATE(VALUE(RIGHT(TRIM(Raw_Data!K275),4)),VALUE(MID(TRIM(Raw_Data!K275),4,2)),VALUE(LEFT(TRIM(Raw_Data!K275),2))),"CHECK"),Raw_Data!K275))</f>
        <v/>
      </c>
      <c r="L266" s="33" t="str">
        <f aca="false">IF(Raw_Data!L275="","",Raw_Data!L275)</f>
        <v>Latrine at the site block needs cleaning and lighting at night.</v>
      </c>
      <c r="M266" s="34" t="str">
        <f aca="false">IF(OR(B266="",K266=""),"",IFERROR(K266-B266,"CHECK"))</f>
        <v/>
      </c>
      <c r="N266" s="34" t="n">
        <f aca="false">IFERROR(INDEX(Reference_Lists!$H$13:$H$14,MATCH(G266,Reference_Lists!$G$13:$G$14,0)),"UNMATCHED")</f>
        <v>15</v>
      </c>
      <c r="O266" s="32" t="str">
        <f aca="false">IF(AND(J266="Closed",ISNUMBER(M266),ISNUMBER(N266),M266&gt;=0),M266&lt;=N266,"NOT ASSESSED")</f>
        <v>NOT ASSESSED</v>
      </c>
      <c r="P266" s="36" t="str">
        <f aca="false">Raw_Data!A275</f>
        <v>CFM-2026-0204</v>
      </c>
      <c r="Q266" s="37" t="str">
        <f aca="false">IFERROR(IF(OR($A266="",$P266=""),"MISSING ID",IF(EXACT($A266,$P266),"ALIGNED","MISMATCH")),"CHECK")</f>
        <v>ALIGNED</v>
      </c>
    </row>
    <row r="267" customFormat="false" ht="19.5" hidden="false" customHeight="true" outlineLevel="0" collapsed="false">
      <c r="A267" s="29" t="s">
        <v>389</v>
      </c>
      <c r="B267" s="30" t="n">
        <f aca="false">IF(Raw_Data!B276="","",IF(ISTEXT(Raw_Data!B276),IFERROR(DATE(VALUE(RIGHT(TRIM(Raw_Data!B276),4)),VALUE(MID(TRIM(Raw_Data!B276),4,2)),VALUE(LEFT(TRIM(Raw_Data!B276),2))),"CHECK"),Raw_Data!B276))</f>
        <v>46215</v>
      </c>
      <c r="C267" s="31" t="str">
        <f aca="false">IFERROR(INDEX(Reference_Lists!$C$23:$C$35,MATCH(PROPER(TRIM(Raw_Data!C276)),Reference_Lists!$B$23:$B$35,0)),"UNMATCHED")</f>
        <v>Help Desk</v>
      </c>
      <c r="D267" s="31" t="str">
        <f aca="false">IFERROR(INDEX(Reference_Lists!$C$36:$C$50,MATCH(PROPER(TRIM(Raw_Data!D276)),Reference_Lists!$B$36:$B$50,0)),"UNMATCHED")</f>
        <v>Rafah</v>
      </c>
      <c r="E267" s="31" t="str">
        <f aca="false">IF(Raw_Data!E276="","",Raw_Data!E276)</f>
        <v>WASH</v>
      </c>
      <c r="F267" s="31" t="str">
        <f aca="false">IF(Raw_Data!F276="","",Raw_Data!F276)</f>
        <v>Complaint</v>
      </c>
      <c r="G267" s="32" t="str">
        <f aca="false">IF(Raw_Data!G276="","",Raw_Data!G276)</f>
        <v>Non-Sensitive</v>
      </c>
      <c r="H267" s="32" t="str">
        <f aca="false">IFERROR(INDEX(Reference_Lists!$C$51:$C$57,MATCH(PROPER(TRIM(Raw_Data!H276)),Reference_Lists!$B$51:$B$57,0)),"UNMATCHED")</f>
        <v>Female</v>
      </c>
      <c r="I267" s="32" t="str">
        <f aca="false">IF(Raw_Data!I276="","",Raw_Data!I276)</f>
        <v/>
      </c>
      <c r="J267" s="32" t="str">
        <f aca="false">IFERROR(INDEX(Reference_Lists!$C$58:$C$65,MATCH(PROPER(TRIM(Raw_Data!J276)),Reference_Lists!$B$58:$B$65,0)),"UNMATCHED")</f>
        <v>Closed</v>
      </c>
      <c r="K267" s="30" t="n">
        <f aca="false">IF(Raw_Data!K276="","",IF(ISTEXT(Raw_Data!K276),IFERROR(DATE(VALUE(RIGHT(TRIM(Raw_Data!K276),4)),VALUE(MID(TRIM(Raw_Data!K276),4,2)),VALUE(LEFT(TRIM(Raw_Data!K276),2))),"CHECK"),Raw_Data!K276))</f>
        <v>46241</v>
      </c>
      <c r="L267" s="33" t="str">
        <f aca="false">IF(Raw_Data!L276="","",Raw_Data!L276)</f>
        <v>Water truck did not arrive at the agreed time for three consecutive days.</v>
      </c>
      <c r="M267" s="34" t="n">
        <f aca="false">IF(OR(B267="",K267=""),"",IFERROR(K267-B267,"CHECK"))</f>
        <v>26</v>
      </c>
      <c r="N267" s="34" t="n">
        <f aca="false">IFERROR(INDEX(Reference_Lists!$H$13:$H$14,MATCH(G267,Reference_Lists!$G$13:$G$14,0)),"UNMATCHED")</f>
        <v>15</v>
      </c>
      <c r="O267" s="35" t="b">
        <f aca="false">IF(AND(J267="Closed",ISNUMBER(M267),ISNUMBER(N267),M267&gt;=0),M267&lt;=N267,"NOT ASSESSED")</f>
        <v>0</v>
      </c>
      <c r="P267" s="36" t="str">
        <f aca="false">Raw_Data!A276</f>
        <v>CFM-2026-0330</v>
      </c>
      <c r="Q267" s="37" t="str">
        <f aca="false">IFERROR(IF(OR($A267="",$P267=""),"MISSING ID",IF(EXACT($A267,$P267),"ALIGNED","MISMATCH")),"CHECK")</f>
        <v>ALIGNED</v>
      </c>
    </row>
    <row r="268" customFormat="false" ht="19.5" hidden="false" customHeight="true" outlineLevel="0" collapsed="false">
      <c r="A268" s="29" t="s">
        <v>390</v>
      </c>
      <c r="B268" s="30" t="n">
        <f aca="false">IF(Raw_Data!B277="","",IF(ISTEXT(Raw_Data!B277),IFERROR(DATE(VALUE(RIGHT(TRIM(Raw_Data!B277),4)),VALUE(MID(TRIM(Raw_Data!B277),4,2)),VALUE(LEFT(TRIM(Raw_Data!B277),2))),"CHECK"),Raw_Data!B277))</f>
        <v>46162</v>
      </c>
      <c r="C268" s="31" t="str">
        <f aca="false">IFERROR(INDEX(Reference_Lists!$C$23:$C$35,MATCH(PROPER(TRIM(Raw_Data!C277)),Reference_Lists!$B$23:$B$35,0)),"UNMATCHED")</f>
        <v>In-Person at Distribution</v>
      </c>
      <c r="D268" s="31" t="str">
        <f aca="false">IFERROR(INDEX(Reference_Lists!$C$36:$C$50,MATCH(PROPER(TRIM(Raw_Data!D277)),Reference_Lists!$B$36:$B$50,0)),"UNMATCHED")</f>
        <v>Deir al-Balah</v>
      </c>
      <c r="E268" s="31" t="str">
        <f aca="false">IF(Raw_Data!E277="","",Raw_Data!E277)</f>
        <v>Health</v>
      </c>
      <c r="F268" s="31" t="str">
        <f aca="false">IF(Raw_Data!F277="","",Raw_Data!F277)</f>
        <v>Request for Information</v>
      </c>
      <c r="G268" s="32" t="str">
        <f aca="false">IF(Raw_Data!G277="","",Raw_Data!G277)</f>
        <v>Non-Sensitive</v>
      </c>
      <c r="H268" s="32" t="str">
        <f aca="false">IFERROR(INDEX(Reference_Lists!$C$51:$C$57,MATCH(PROPER(TRIM(Raw_Data!H277)),Reference_Lists!$B$51:$B$57,0)),"UNMATCHED")</f>
        <v>Male</v>
      </c>
      <c r="I268" s="32" t="str">
        <f aca="false">IF(Raw_Data!I277="","",Raw_Data!I277)</f>
        <v>18-29</v>
      </c>
      <c r="J268" s="32" t="str">
        <f aca="false">IFERROR(INDEX(Reference_Lists!$C$58:$C$65,MATCH(PROPER(TRIM(Raw_Data!J277)),Reference_Lists!$B$58:$B$65,0)),"UNMATCHED")</f>
        <v>In Progress</v>
      </c>
      <c r="K268" s="30" t="str">
        <f aca="false">IF(Raw_Data!K277="","",IF(ISTEXT(Raw_Data!K277),IFERROR(DATE(VALUE(RIGHT(TRIM(Raw_Data!K277),4)),VALUE(MID(TRIM(Raw_Data!K277),4,2)),VALUE(LEFT(TRIM(Raw_Data!K277),2))),"CHECK"),Raw_Data!K277))</f>
        <v/>
      </c>
      <c r="L268" s="33" t="str">
        <f aca="false">IF(Raw_Data!L277="","",Raw_Data!L277)</f>
        <v>Clinic opening hours are not clear to the community.</v>
      </c>
      <c r="M268" s="34" t="str">
        <f aca="false">IF(OR(B268="",K268=""),"",IFERROR(K268-B268,"CHECK"))</f>
        <v/>
      </c>
      <c r="N268" s="34" t="n">
        <f aca="false">IFERROR(INDEX(Reference_Lists!$H$13:$H$14,MATCH(G268,Reference_Lists!$G$13:$G$14,0)),"UNMATCHED")</f>
        <v>15</v>
      </c>
      <c r="O268" s="32" t="str">
        <f aca="false">IF(AND(J268="Closed",ISNUMBER(M268),ISNUMBER(N268),M268&gt;=0),M268&lt;=N268,"NOT ASSESSED")</f>
        <v>NOT ASSESSED</v>
      </c>
      <c r="P268" s="36" t="str">
        <f aca="false">Raw_Data!A277</f>
        <v>CFM-2026-0420</v>
      </c>
      <c r="Q268" s="37" t="str">
        <f aca="false">IFERROR(IF(OR($A268="",$P268=""),"MISSING ID",IF(EXACT($A268,$P268),"ALIGNED","MISMATCH")),"CHECK")</f>
        <v>ALIGNED</v>
      </c>
    </row>
    <row r="269" customFormat="false" ht="19.5" hidden="false" customHeight="true" outlineLevel="0" collapsed="false">
      <c r="A269" s="29" t="s">
        <v>391</v>
      </c>
      <c r="B269" s="30" t="n">
        <f aca="false">IF(Raw_Data!B278="","",IF(ISTEXT(Raw_Data!B278),IFERROR(DATE(VALUE(RIGHT(TRIM(Raw_Data!B278),4)),VALUE(MID(TRIM(Raw_Data!B278),4,2)),VALUE(LEFT(TRIM(Raw_Data!B278),2))),"CHECK"),Raw_Data!B278))</f>
        <v>46161</v>
      </c>
      <c r="C269" s="31" t="str">
        <f aca="false">IFERROR(INDEX(Reference_Lists!$C$23:$C$35,MATCH(PROPER(TRIM(Raw_Data!C278)),Reference_Lists!$B$23:$B$35,0)),"UNMATCHED")</f>
        <v>Help Desk</v>
      </c>
      <c r="D269" s="31" t="str">
        <f aca="false">IFERROR(INDEX(Reference_Lists!$C$36:$C$50,MATCH(PROPER(TRIM(Raw_Data!D278)),Reference_Lists!$B$36:$B$50,0)),"UNMATCHED")</f>
        <v>Jabalia</v>
      </c>
      <c r="E269" s="31" t="str">
        <f aca="false">IF(Raw_Data!E278="","",Raw_Data!E278)</f>
        <v>Shelter</v>
      </c>
      <c r="F269" s="31" t="str">
        <f aca="false">IF(Raw_Data!F278="","",Raw_Data!F278)</f>
        <v>Sensitive Complaint</v>
      </c>
      <c r="G269" s="32" t="str">
        <f aca="false">IF(Raw_Data!G278="","",Raw_Data!G278)</f>
        <v>Sensitive</v>
      </c>
      <c r="H269" s="32" t="str">
        <f aca="false">IFERROR(INDEX(Reference_Lists!$C$51:$C$57,MATCH(PROPER(TRIM(Raw_Data!H278)),Reference_Lists!$B$51:$B$57,0)),"UNMATCHED")</f>
        <v>Female</v>
      </c>
      <c r="I269" s="32" t="str">
        <f aca="false">IF(Raw_Data!I278="","",Raw_Data!I278)</f>
        <v>30-44</v>
      </c>
      <c r="J269" s="32" t="str">
        <f aca="false">IFERROR(INDEX(Reference_Lists!$C$58:$C$65,MATCH(PROPER(TRIM(Raw_Data!J278)),Reference_Lists!$B$58:$B$65,0)),"UNMATCHED")</f>
        <v>Open</v>
      </c>
      <c r="K269" s="30" t="str">
        <f aca="false">IF(Raw_Data!K278="","",IF(ISTEXT(Raw_Data!K278),IFERROR(DATE(VALUE(RIGHT(TRIM(Raw_Data!K278),4)),VALUE(MID(TRIM(Raw_Data!K278),4,2)),VALUE(LEFT(TRIM(Raw_Data!K278),2))),"CHECK"),Raw_Data!K278))</f>
        <v/>
      </c>
      <c r="L269" s="33" t="str">
        <f aca="false">IF(Raw_Data!L278="","",Raw_Data!L278)</f>
        <v>Sensitive case - details recorded separately by the focal point; not stored in this tracker.</v>
      </c>
      <c r="M269" s="34" t="str">
        <f aca="false">IF(OR(B269="",K269=""),"",IFERROR(K269-B269,"CHECK"))</f>
        <v/>
      </c>
      <c r="N269" s="34" t="n">
        <f aca="false">IFERROR(INDEX(Reference_Lists!$H$13:$H$14,MATCH(G269,Reference_Lists!$G$13:$G$14,0)),"UNMATCHED")</f>
        <v>3</v>
      </c>
      <c r="O269" s="32" t="str">
        <f aca="false">IF(AND(J269="Closed",ISNUMBER(M269),ISNUMBER(N269),M269&gt;=0),M269&lt;=N269,"NOT ASSESSED")</f>
        <v>NOT ASSESSED</v>
      </c>
      <c r="P269" s="36" t="str">
        <f aca="false">Raw_Data!A278</f>
        <v>CFM-2026-0347</v>
      </c>
      <c r="Q269" s="37" t="str">
        <f aca="false">IFERROR(IF(OR($A269="",$P269=""),"MISSING ID",IF(EXACT($A269,$P269),"ALIGNED","MISMATCH")),"CHECK")</f>
        <v>ALIGNED</v>
      </c>
    </row>
    <row r="270" customFormat="false" ht="19.5" hidden="false" customHeight="true" outlineLevel="0" collapsed="false">
      <c r="A270" s="29" t="s">
        <v>392</v>
      </c>
      <c r="B270" s="30" t="n">
        <f aca="false">IF(Raw_Data!B279="","",IF(ISTEXT(Raw_Data!B279),IFERROR(DATE(VALUE(RIGHT(TRIM(Raw_Data!B279),4)),VALUE(MID(TRIM(Raw_Data!B279),4,2)),VALUE(LEFT(TRIM(Raw_Data!B279),2))),"CHECK"),Raw_Data!B279))</f>
        <v>46029</v>
      </c>
      <c r="C270" s="31" t="str">
        <f aca="false">IFERROR(INDEX(Reference_Lists!$C$23:$C$35,MATCH(PROPER(TRIM(Raw_Data!C279)),Reference_Lists!$B$23:$B$35,0)),"UNMATCHED")</f>
        <v>Suggestion Box</v>
      </c>
      <c r="D270" s="31" t="str">
        <f aca="false">IFERROR(INDEX(Reference_Lists!$C$36:$C$50,MATCH(PROPER(TRIM(Raw_Data!D279)),Reference_Lists!$B$36:$B$50,0)),"UNMATCHED")</f>
        <v>Khan Yunis</v>
      </c>
      <c r="E270" s="31" t="str">
        <f aca="false">IF(Raw_Data!E279="","",Raw_Data!E279)</f>
        <v>Food Security</v>
      </c>
      <c r="F270" s="31" t="str">
        <f aca="false">IF(Raw_Data!F279="","",Raw_Data!F279)</f>
        <v>Complaint</v>
      </c>
      <c r="G270" s="32" t="str">
        <f aca="false">IF(Raw_Data!G279="","",Raw_Data!G279)</f>
        <v>Non-Sensitive</v>
      </c>
      <c r="H270" s="32" t="str">
        <f aca="false">IFERROR(INDEX(Reference_Lists!$C$51:$C$57,MATCH(PROPER(TRIM(Raw_Data!H279)),Reference_Lists!$B$51:$B$57,0)),"UNMATCHED")</f>
        <v>Male</v>
      </c>
      <c r="I270" s="32" t="str">
        <f aca="false">IF(Raw_Data!I279="","",Raw_Data!I279)</f>
        <v>18-29</v>
      </c>
      <c r="J270" s="32" t="str">
        <f aca="false">IFERROR(INDEX(Reference_Lists!$C$58:$C$65,MATCH(PROPER(TRIM(Raw_Data!J279)),Reference_Lists!$B$58:$B$65,0)),"UNMATCHED")</f>
        <v>In Progress</v>
      </c>
      <c r="K270" s="30" t="n">
        <f aca="false">IF(Raw_Data!K279="","",IF(ISTEXT(Raw_Data!K279),IFERROR(DATE(VALUE(RIGHT(TRIM(Raw_Data!K279),4)),VALUE(MID(TRIM(Raw_Data!K279),4,2)),VALUE(LEFT(TRIM(Raw_Data!K279),2))),"CHECK"),Raw_Data!K279))</f>
        <v>46032</v>
      </c>
      <c r="L270" s="33" t="str">
        <f aca="false">IF(Raw_Data!L279="","",Raw_Data!L279)</f>
        <v>Thanking the team for organising the last distribution well.</v>
      </c>
      <c r="M270" s="34" t="n">
        <f aca="false">IF(OR(B270="",K270=""),"",IFERROR(K270-B270,"CHECK"))</f>
        <v>3</v>
      </c>
      <c r="N270" s="34" t="n">
        <f aca="false">IFERROR(INDEX(Reference_Lists!$H$13:$H$14,MATCH(G270,Reference_Lists!$G$13:$G$14,0)),"UNMATCHED")</f>
        <v>15</v>
      </c>
      <c r="O270" s="32" t="str">
        <f aca="false">IF(AND(J270="Closed",ISNUMBER(M270),ISNUMBER(N270),M270&gt;=0),M270&lt;=N270,"NOT ASSESSED")</f>
        <v>NOT ASSESSED</v>
      </c>
      <c r="P270" s="36" t="str">
        <f aca="false">Raw_Data!A279</f>
        <v>CFM-2026-0464</v>
      </c>
      <c r="Q270" s="37" t="str">
        <f aca="false">IFERROR(IF(OR($A270="",$P270=""),"MISSING ID",IF(EXACT($A270,$P270),"ALIGNED","MISMATCH")),"CHECK")</f>
        <v>ALIGNED</v>
      </c>
    </row>
    <row r="271" customFormat="false" ht="19.5" hidden="false" customHeight="true" outlineLevel="0" collapsed="false">
      <c r="A271" s="29" t="s">
        <v>393</v>
      </c>
      <c r="B271" s="30" t="n">
        <f aca="false">IF(Raw_Data!B280="","",IF(ISTEXT(Raw_Data!B280),IFERROR(DATE(VALUE(RIGHT(TRIM(Raw_Data!B280),4)),VALUE(MID(TRIM(Raw_Data!B280),4,2)),VALUE(LEFT(TRIM(Raw_Data!B280),2))),"CHECK"),Raw_Data!B280))</f>
        <v>46154</v>
      </c>
      <c r="C271" s="31" t="str">
        <f aca="false">IFERROR(INDEX(Reference_Lists!$C$23:$C$35,MATCH(PROPER(TRIM(Raw_Data!C280)),Reference_Lists!$B$23:$B$35,0)),"UNMATCHED")</f>
        <v>Community Focal Point</v>
      </c>
      <c r="D271" s="31" t="str">
        <f aca="false">IFERROR(INDEX(Reference_Lists!$C$36:$C$50,MATCH(PROPER(TRIM(Raw_Data!D280)),Reference_Lists!$B$36:$B$50,0)),"UNMATCHED")</f>
        <v>Deir al-Balah</v>
      </c>
      <c r="E271" s="31" t="str">
        <f aca="false">IF(Raw_Data!E280="","",Raw_Data!E280)</f>
        <v>Food Security</v>
      </c>
      <c r="F271" s="31" t="str">
        <f aca="false">IF(Raw_Data!F280="","",Raw_Data!F280)</f>
        <v>Request for Information</v>
      </c>
      <c r="G271" s="32" t="str">
        <f aca="false">IF(Raw_Data!G280="","",Raw_Data!G280)</f>
        <v>Non-Sensitive</v>
      </c>
      <c r="H271" s="32" t="str">
        <f aca="false">IFERROR(INDEX(Reference_Lists!$C$51:$C$57,MATCH(PROPER(TRIM(Raw_Data!H280)),Reference_Lists!$B$51:$B$57,0)),"UNMATCHED")</f>
        <v>Female</v>
      </c>
      <c r="I271" s="32" t="str">
        <f aca="false">IF(Raw_Data!I280="","",Raw_Data!I280)</f>
        <v>18-29</v>
      </c>
      <c r="J271" s="32" t="str">
        <f aca="false">IFERROR(INDEX(Reference_Lists!$C$58:$C$65,MATCH(PROPER(TRIM(Raw_Data!J280)),Reference_Lists!$B$58:$B$65,0)),"UNMATCHED")</f>
        <v>Closed</v>
      </c>
      <c r="K271" s="30" t="n">
        <f aca="false">IF(Raw_Data!K280="","",IF(ISTEXT(Raw_Data!K280),IFERROR(DATE(VALUE(RIGHT(TRIM(Raw_Data!K280),4)),VALUE(MID(TRIM(Raw_Data!K280),4,2)),VALUE(LEFT(TRIM(Raw_Data!K280),2))),"CHECK"),Raw_Data!K280))</f>
        <v>46180</v>
      </c>
      <c r="L271" s="33" t="str">
        <f aca="false">IF(Raw_Data!L280="","",Raw_Data!L280)</f>
        <v>Distribution point is far and transport cost is high for our family.</v>
      </c>
      <c r="M271" s="34" t="n">
        <f aca="false">IF(OR(B271="",K271=""),"",IFERROR(K271-B271,"CHECK"))</f>
        <v>26</v>
      </c>
      <c r="N271" s="34" t="n">
        <f aca="false">IFERROR(INDEX(Reference_Lists!$H$13:$H$14,MATCH(G271,Reference_Lists!$G$13:$G$14,0)),"UNMATCHED")</f>
        <v>15</v>
      </c>
      <c r="O271" s="35" t="b">
        <f aca="false">IF(AND(J271="Closed",ISNUMBER(M271),ISNUMBER(N271),M271&gt;=0),M271&lt;=N271,"NOT ASSESSED")</f>
        <v>0</v>
      </c>
      <c r="P271" s="36" t="str">
        <f aca="false">Raw_Data!A280</f>
        <v>CFM-2026-0317</v>
      </c>
      <c r="Q271" s="37" t="str">
        <f aca="false">IFERROR(IF(OR($A271="",$P271=""),"MISSING ID",IF(EXACT($A271,$P271),"ALIGNED","MISMATCH")),"CHECK")</f>
        <v>ALIGNED</v>
      </c>
    </row>
    <row r="272" customFormat="false" ht="19.5" hidden="false" customHeight="true" outlineLevel="0" collapsed="false">
      <c r="A272" s="29" t="s">
        <v>394</v>
      </c>
      <c r="B272" s="30" t="n">
        <f aca="false">IF(Raw_Data!B281="","",IF(ISTEXT(Raw_Data!B281),IFERROR(DATE(VALUE(RIGHT(TRIM(Raw_Data!B281),4)),VALUE(MID(TRIM(Raw_Data!B281),4,2)),VALUE(LEFT(TRIM(Raw_Data!B281),2))),"CHECK"),Raw_Data!B281))</f>
        <v>46063</v>
      </c>
      <c r="C272" s="31" t="str">
        <f aca="false">IFERROR(INDEX(Reference_Lists!$C$23:$C$35,MATCH(PROPER(TRIM(Raw_Data!C281)),Reference_Lists!$B$23:$B$35,0)),"UNMATCHED")</f>
        <v>Suggestion Box</v>
      </c>
      <c r="D272" s="31" t="str">
        <f aca="false">IFERROR(INDEX(Reference_Lists!$C$36:$C$50,MATCH(PROPER(TRIM(Raw_Data!D281)),Reference_Lists!$B$36:$B$50,0)),"UNMATCHED")</f>
        <v>Nuseirat</v>
      </c>
      <c r="E272" s="31" t="str">
        <f aca="false">IF(Raw_Data!E281="","",Raw_Data!E281)</f>
        <v>Food Security</v>
      </c>
      <c r="F272" s="31" t="str">
        <f aca="false">IF(Raw_Data!F281="","",Raw_Data!F281)</f>
        <v>Sensitive Complaint</v>
      </c>
      <c r="G272" s="32" t="str">
        <f aca="false">IF(Raw_Data!G281="","",Raw_Data!G281)</f>
        <v>Sensitive</v>
      </c>
      <c r="H272" s="32" t="str">
        <f aca="false">IFERROR(INDEX(Reference_Lists!$C$51:$C$57,MATCH(PROPER(TRIM(Raw_Data!H281)),Reference_Lists!$B$51:$B$57,0)),"UNMATCHED")</f>
        <v>Female</v>
      </c>
      <c r="I272" s="32" t="str">
        <f aca="false">IF(Raw_Data!I281="","",Raw_Data!I281)</f>
        <v>18-29</v>
      </c>
      <c r="J272" s="32" t="str">
        <f aca="false">IFERROR(INDEX(Reference_Lists!$C$58:$C$65,MATCH(PROPER(TRIM(Raw_Data!J281)),Reference_Lists!$B$58:$B$65,0)),"UNMATCHED")</f>
        <v>In Progress</v>
      </c>
      <c r="K272" s="30" t="str">
        <f aca="false">IF(Raw_Data!K281="","",IF(ISTEXT(Raw_Data!K281),IFERROR(DATE(VALUE(RIGHT(TRIM(Raw_Data!K281),4)),VALUE(MID(TRIM(Raw_Data!K281),4,2)),VALUE(LEFT(TRIM(Raw_Data!K281),2))),"CHECK"),Raw_Data!K281))</f>
        <v/>
      </c>
      <c r="L272" s="33" t="str">
        <f aca="false">IF(Raw_Data!L281="","",Raw_Data!L281)</f>
        <v>Sensitive case - details recorded separately by the focal point; not stored in this tracker.</v>
      </c>
      <c r="M272" s="34" t="str">
        <f aca="false">IF(OR(B272="",K272=""),"",IFERROR(K272-B272,"CHECK"))</f>
        <v/>
      </c>
      <c r="N272" s="34" t="n">
        <f aca="false">IFERROR(INDEX(Reference_Lists!$H$13:$H$14,MATCH(G272,Reference_Lists!$G$13:$G$14,0)),"UNMATCHED")</f>
        <v>3</v>
      </c>
      <c r="O272" s="32" t="str">
        <f aca="false">IF(AND(J272="Closed",ISNUMBER(M272),ISNUMBER(N272),M272&gt;=0),M272&lt;=N272,"NOT ASSESSED")</f>
        <v>NOT ASSESSED</v>
      </c>
      <c r="P272" s="36" t="str">
        <f aca="false">Raw_Data!A281</f>
        <v>CFM-2026-0480</v>
      </c>
      <c r="Q272" s="37" t="str">
        <f aca="false">IFERROR(IF(OR($A272="",$P272=""),"MISSING ID",IF(EXACT($A272,$P272),"ALIGNED","MISMATCH")),"CHECK")</f>
        <v>ALIGNED</v>
      </c>
    </row>
    <row r="273" customFormat="false" ht="19.5" hidden="false" customHeight="true" outlineLevel="0" collapsed="false">
      <c r="A273" s="29" t="s">
        <v>395</v>
      </c>
      <c r="B273" s="30" t="n">
        <f aca="false">IF(Raw_Data!B282="","",IF(ISTEXT(Raw_Data!B282),IFERROR(DATE(VALUE(RIGHT(TRIM(Raw_Data!B282),4)),VALUE(MID(TRIM(Raw_Data!B282),4,2)),VALUE(LEFT(TRIM(Raw_Data!B282),2))),"CHECK"),Raw_Data!B282))</f>
        <v>46217</v>
      </c>
      <c r="C273" s="31" t="str">
        <f aca="false">IFERROR(INDEX(Reference_Lists!$C$23:$C$35,MATCH(PROPER(TRIM(Raw_Data!C282)),Reference_Lists!$B$23:$B$35,0)),"UNMATCHED")</f>
        <v>Suggestion Box</v>
      </c>
      <c r="D273" s="31" t="str">
        <f aca="false">IFERROR(INDEX(Reference_Lists!$C$36:$C$50,MATCH(PROPER(TRIM(Raw_Data!D282)),Reference_Lists!$B$36:$B$50,0)),"UNMATCHED")</f>
        <v>Jabalia</v>
      </c>
      <c r="E273" s="31" t="str">
        <f aca="false">IF(Raw_Data!E282="","",Raw_Data!E282)</f>
        <v/>
      </c>
      <c r="F273" s="31" t="str">
        <f aca="false">IF(Raw_Data!F282="","",Raw_Data!F282)</f>
        <v>Appreciation</v>
      </c>
      <c r="G273" s="32" t="str">
        <f aca="false">IF(Raw_Data!G282="","",Raw_Data!G282)</f>
        <v>Non-Sensitive</v>
      </c>
      <c r="H273" s="32" t="str">
        <f aca="false">IFERROR(INDEX(Reference_Lists!$C$51:$C$57,MATCH(PROPER(TRIM(Raw_Data!H282)),Reference_Lists!$B$51:$B$57,0)),"UNMATCHED")</f>
        <v>Female</v>
      </c>
      <c r="I273" s="32" t="str">
        <f aca="false">IF(Raw_Data!I282="","",Raw_Data!I282)</f>
        <v>18-29</v>
      </c>
      <c r="J273" s="32" t="str">
        <f aca="false">IFERROR(INDEX(Reference_Lists!$C$58:$C$65,MATCH(PROPER(TRIM(Raw_Data!J282)),Reference_Lists!$B$58:$B$65,0)),"UNMATCHED")</f>
        <v>Closed</v>
      </c>
      <c r="K273" s="30" t="n">
        <f aca="false">IF(Raw_Data!K282="","",IF(ISTEXT(Raw_Data!K282),IFERROR(DATE(VALUE(RIGHT(TRIM(Raw_Data!K282),4)),VALUE(MID(TRIM(Raw_Data!K282),4,2)),VALUE(LEFT(TRIM(Raw_Data!K282),2))),"CHECK"),Raw_Data!K282))</f>
        <v>46236</v>
      </c>
      <c r="L273" s="33" t="str">
        <f aca="false">IF(Raw_Data!L282="","",Raw_Data!L282)</f>
        <v>Distribution point is far and transport cost is high for our family.</v>
      </c>
      <c r="M273" s="34" t="n">
        <f aca="false">IF(OR(B273="",K273=""),"",IFERROR(K273-B273,"CHECK"))</f>
        <v>19</v>
      </c>
      <c r="N273" s="34" t="n">
        <f aca="false">IFERROR(INDEX(Reference_Lists!$H$13:$H$14,MATCH(G273,Reference_Lists!$G$13:$G$14,0)),"UNMATCHED")</f>
        <v>15</v>
      </c>
      <c r="O273" s="35" t="b">
        <f aca="false">IF(AND(J273="Closed",ISNUMBER(M273),ISNUMBER(N273),M273&gt;=0),M273&lt;=N273,"NOT ASSESSED")</f>
        <v>0</v>
      </c>
      <c r="P273" s="36" t="str">
        <f aca="false">Raw_Data!A282</f>
        <v>CFM-2026-0148</v>
      </c>
      <c r="Q273" s="37" t="str">
        <f aca="false">IFERROR(IF(OR($A273="",$P273=""),"MISSING ID",IF(EXACT($A273,$P273),"ALIGNED","MISMATCH")),"CHECK")</f>
        <v>ALIGNED</v>
      </c>
    </row>
    <row r="274" customFormat="false" ht="19.5" hidden="false" customHeight="true" outlineLevel="0" collapsed="false">
      <c r="A274" s="29" t="s">
        <v>396</v>
      </c>
      <c r="B274" s="30" t="n">
        <f aca="false">IF(Raw_Data!B283="","",IF(ISTEXT(Raw_Data!B283),IFERROR(DATE(VALUE(RIGHT(TRIM(Raw_Data!B283),4)),VALUE(MID(TRIM(Raw_Data!B283),4,2)),VALUE(LEFT(TRIM(Raw_Data!B283),2))),"CHECK"),Raw_Data!B283))</f>
        <v>46127</v>
      </c>
      <c r="C274" s="31" t="str">
        <f aca="false">IFERROR(INDEX(Reference_Lists!$C$23:$C$35,MATCH(PROPER(TRIM(Raw_Data!C283)),Reference_Lists!$B$23:$B$35,0)),"UNMATCHED")</f>
        <v>Phone Hotline</v>
      </c>
      <c r="D274" s="31" t="str">
        <f aca="false">IFERROR(INDEX(Reference_Lists!$C$36:$C$50,MATCH(PROPER(TRIM(Raw_Data!D283)),Reference_Lists!$B$36:$B$50,0)),"UNMATCHED")</f>
        <v>Rafah</v>
      </c>
      <c r="E274" s="31" t="str">
        <f aca="false">IF(Raw_Data!E283="","",Raw_Data!E283)</f>
        <v>WASH</v>
      </c>
      <c r="F274" s="31" t="str">
        <f aca="false">IF(Raw_Data!F283="","",Raw_Data!F283)</f>
        <v>Request for Information</v>
      </c>
      <c r="G274" s="32" t="str">
        <f aca="false">IF(Raw_Data!G283="","",Raw_Data!G283)</f>
        <v>Non-Sensitive</v>
      </c>
      <c r="H274" s="32" t="str">
        <f aca="false">IFERROR(INDEX(Reference_Lists!$C$51:$C$57,MATCH(PROPER(TRIM(Raw_Data!H283)),Reference_Lists!$B$51:$B$57,0)),"UNMATCHED")</f>
        <v>Female</v>
      </c>
      <c r="I274" s="32" t="str">
        <f aca="false">IF(Raw_Data!I283="","",Raw_Data!I283)</f>
        <v>30-44</v>
      </c>
      <c r="J274" s="32" t="str">
        <f aca="false">IFERROR(INDEX(Reference_Lists!$C$58:$C$65,MATCH(PROPER(TRIM(Raw_Data!J283)),Reference_Lists!$B$58:$B$65,0)),"UNMATCHED")</f>
        <v>Closed</v>
      </c>
      <c r="K274" s="30" t="n">
        <f aca="false">IF(Raw_Data!K283="","",IF(ISTEXT(Raw_Data!K283),IFERROR(DATE(VALUE(RIGHT(TRIM(Raw_Data!K283),4)),VALUE(MID(TRIM(Raw_Data!K283),4,2)),VALUE(LEFT(TRIM(Raw_Data!K283),2))),"CHECK"),Raw_Data!K283))</f>
        <v>46152</v>
      </c>
      <c r="L274" s="33" t="str">
        <f aca="false">IF(Raw_Data!L283="","",Raw_Data!L283)</f>
        <v>Latrine at the site block needs cleaning and lighting at night.</v>
      </c>
      <c r="M274" s="34" t="n">
        <f aca="false">IF(OR(B274="",K274=""),"",IFERROR(K274-B274,"CHECK"))</f>
        <v>25</v>
      </c>
      <c r="N274" s="34" t="n">
        <f aca="false">IFERROR(INDEX(Reference_Lists!$H$13:$H$14,MATCH(G274,Reference_Lists!$G$13:$G$14,0)),"UNMATCHED")</f>
        <v>15</v>
      </c>
      <c r="O274" s="35" t="b">
        <f aca="false">IF(AND(J274="Closed",ISNUMBER(M274),ISNUMBER(N274),M274&gt;=0),M274&lt;=N274,"NOT ASSESSED")</f>
        <v>0</v>
      </c>
      <c r="P274" s="36" t="str">
        <f aca="false">Raw_Data!A283</f>
        <v>CFM-2026-0042</v>
      </c>
      <c r="Q274" s="37" t="str">
        <f aca="false">IFERROR(IF(OR($A274="",$P274=""),"MISSING ID",IF(EXACT($A274,$P274),"ALIGNED","MISMATCH")),"CHECK")</f>
        <v>ALIGNED</v>
      </c>
    </row>
    <row r="275" customFormat="false" ht="19.5" hidden="false" customHeight="true" outlineLevel="0" collapsed="false">
      <c r="A275" s="29" t="s">
        <v>397</v>
      </c>
      <c r="B275" s="30" t="n">
        <f aca="false">IF(Raw_Data!B284="","",IF(ISTEXT(Raw_Data!B284),IFERROR(DATE(VALUE(RIGHT(TRIM(Raw_Data!B284),4)),VALUE(MID(TRIM(Raw_Data!B284),4,2)),VALUE(LEFT(TRIM(Raw_Data!B284),2))),"CHECK"),Raw_Data!B284))</f>
        <v>46186</v>
      </c>
      <c r="C275" s="31" t="str">
        <f aca="false">IFERROR(INDEX(Reference_Lists!$C$23:$C$35,MATCH(PROPER(TRIM(Raw_Data!C284)),Reference_Lists!$B$23:$B$35,0)),"UNMATCHED")</f>
        <v>Community Focal Point</v>
      </c>
      <c r="D275" s="31" t="str">
        <f aca="false">IFERROR(INDEX(Reference_Lists!$C$36:$C$50,MATCH(PROPER(TRIM(Raw_Data!D284)),Reference_Lists!$B$36:$B$50,0)),"UNMATCHED")</f>
        <v>Rafah</v>
      </c>
      <c r="E275" s="31" t="str">
        <f aca="false">IF(Raw_Data!E284="","",Raw_Data!E284)</f>
        <v>Food Security</v>
      </c>
      <c r="F275" s="31" t="str">
        <f aca="false">IF(Raw_Data!F284="","",Raw_Data!F284)</f>
        <v>Sensitive Complaint</v>
      </c>
      <c r="G275" s="32" t="str">
        <f aca="false">IF(Raw_Data!G284="","",Raw_Data!G284)</f>
        <v>Sensitive</v>
      </c>
      <c r="H275" s="32" t="str">
        <f aca="false">IFERROR(INDEX(Reference_Lists!$C$51:$C$57,MATCH(PROPER(TRIM(Raw_Data!H284)),Reference_Lists!$B$51:$B$57,0)),"UNMATCHED")</f>
        <v>Male</v>
      </c>
      <c r="I275" s="32" t="str">
        <f aca="false">IF(Raw_Data!I284="","",Raw_Data!I284)</f>
        <v>45-59</v>
      </c>
      <c r="J275" s="32" t="str">
        <f aca="false">IFERROR(INDEX(Reference_Lists!$C$58:$C$65,MATCH(PROPER(TRIM(Raw_Data!J284)),Reference_Lists!$B$58:$B$65,0)),"UNMATCHED")</f>
        <v>Open</v>
      </c>
      <c r="K275" s="30" t="str">
        <f aca="false">IF(Raw_Data!K284="","",IF(ISTEXT(Raw_Data!K284),IFERROR(DATE(VALUE(RIGHT(TRIM(Raw_Data!K284),4)),VALUE(MID(TRIM(Raw_Data!K284),4,2)),VALUE(LEFT(TRIM(Raw_Data!K284),2))),"CHECK"),Raw_Data!K284))</f>
        <v/>
      </c>
      <c r="L275" s="33" t="str">
        <f aca="false">IF(Raw_Data!L284="","",Raw_Data!L284)</f>
        <v>Sensitive case - details recorded separately by the focal point; not stored in this tracker.</v>
      </c>
      <c r="M275" s="34" t="str">
        <f aca="false">IF(OR(B275="",K275=""),"",IFERROR(K275-B275,"CHECK"))</f>
        <v/>
      </c>
      <c r="N275" s="34" t="n">
        <f aca="false">IFERROR(INDEX(Reference_Lists!$H$13:$H$14,MATCH(G275,Reference_Lists!$G$13:$G$14,0)),"UNMATCHED")</f>
        <v>3</v>
      </c>
      <c r="O275" s="32" t="str">
        <f aca="false">IF(AND(J275="Closed",ISNUMBER(M275),ISNUMBER(N275),M275&gt;=0),M275&lt;=N275,"NOT ASSESSED")</f>
        <v>NOT ASSESSED</v>
      </c>
      <c r="P275" s="36" t="str">
        <f aca="false">Raw_Data!A284</f>
        <v>CFM-2026-0343</v>
      </c>
      <c r="Q275" s="37" t="str">
        <f aca="false">IFERROR(IF(OR($A275="",$P275=""),"MISSING ID",IF(EXACT($A275,$P275),"ALIGNED","MISMATCH")),"CHECK")</f>
        <v>ALIGNED</v>
      </c>
    </row>
    <row r="276" customFormat="false" ht="19.5" hidden="false" customHeight="true" outlineLevel="0" collapsed="false">
      <c r="A276" s="29" t="s">
        <v>398</v>
      </c>
      <c r="B276" s="30" t="n">
        <f aca="false">IF(Raw_Data!B285="","",IF(ISTEXT(Raw_Data!B285),IFERROR(DATE(VALUE(RIGHT(TRIM(Raw_Data!B285),4)),VALUE(MID(TRIM(Raw_Data!B285),4,2)),VALUE(LEFT(TRIM(Raw_Data!B285),2))),"CHECK"),Raw_Data!B285))</f>
        <v>46107</v>
      </c>
      <c r="C276" s="31" t="str">
        <f aca="false">IFERROR(INDEX(Reference_Lists!$C$23:$C$35,MATCH(PROPER(TRIM(Raw_Data!C285)),Reference_Lists!$B$23:$B$35,0)),"UNMATCHED")</f>
        <v>Phone Hotline</v>
      </c>
      <c r="D276" s="31" t="str">
        <f aca="false">IFERROR(INDEX(Reference_Lists!$C$36:$C$50,MATCH(PROPER(TRIM(Raw_Data!D285)),Reference_Lists!$B$36:$B$50,0)),"UNMATCHED")</f>
        <v>Rafah</v>
      </c>
      <c r="E276" s="31" t="str">
        <f aca="false">IF(Raw_Data!E285="","",Raw_Data!E285)</f>
        <v>Nutrition</v>
      </c>
      <c r="F276" s="31" t="str">
        <f aca="false">IF(Raw_Data!F285="","",Raw_Data!F285)</f>
        <v>Complaint</v>
      </c>
      <c r="G276" s="32" t="str">
        <f aca="false">IF(Raw_Data!G285="","",Raw_Data!G285)</f>
        <v>Non-Sensitive</v>
      </c>
      <c r="H276" s="32" t="str">
        <f aca="false">IFERROR(INDEX(Reference_Lists!$C$51:$C$57,MATCH(PROPER(TRIM(Raw_Data!H285)),Reference_Lists!$B$51:$B$57,0)),"UNMATCHED")</f>
        <v>Male</v>
      </c>
      <c r="I276" s="32" t="str">
        <f aca="false">IF(Raw_Data!I285="","",Raw_Data!I285)</f>
        <v>18-29</v>
      </c>
      <c r="J276" s="32" t="str">
        <f aca="false">IFERROR(INDEX(Reference_Lists!$C$58:$C$65,MATCH(PROPER(TRIM(Raw_Data!J285)),Reference_Lists!$B$58:$B$65,0)),"UNMATCHED")</f>
        <v>Closed</v>
      </c>
      <c r="K276" s="30" t="n">
        <f aca="false">IF(Raw_Data!K285="","",IF(ISTEXT(Raw_Data!K285),IFERROR(DATE(VALUE(RIGHT(TRIM(Raw_Data!K285),4)),VALUE(MID(TRIM(Raw_Data!K285),4,2)),VALUE(LEFT(TRIM(Raw_Data!K285),2))),"CHECK"),Raw_Data!K285))</f>
        <v>46125</v>
      </c>
      <c r="L276" s="33" t="str">
        <f aca="false">IF(Raw_Data!L285="","",Raw_Data!L285)</f>
        <v>Requesting a screening session closer to the northern shelter.</v>
      </c>
      <c r="M276" s="34" t="n">
        <f aca="false">IF(OR(B276="",K276=""),"",IFERROR(K276-B276,"CHECK"))</f>
        <v>18</v>
      </c>
      <c r="N276" s="34" t="n">
        <f aca="false">IFERROR(INDEX(Reference_Lists!$H$13:$H$14,MATCH(G276,Reference_Lists!$G$13:$G$14,0)),"UNMATCHED")</f>
        <v>15</v>
      </c>
      <c r="O276" s="35" t="b">
        <f aca="false">IF(AND(J276="Closed",ISNUMBER(M276),ISNUMBER(N276),M276&gt;=0),M276&lt;=N276,"NOT ASSESSED")</f>
        <v>0</v>
      </c>
      <c r="P276" s="36" t="str">
        <f aca="false">Raw_Data!A285</f>
        <v>CFM-2026-0028</v>
      </c>
      <c r="Q276" s="37" t="str">
        <f aca="false">IFERROR(IF(OR($A276="",$P276=""),"MISSING ID",IF(EXACT($A276,$P276),"ALIGNED","MISMATCH")),"CHECK")</f>
        <v>ALIGNED</v>
      </c>
    </row>
    <row r="277" customFormat="false" ht="19.5" hidden="false" customHeight="true" outlineLevel="0" collapsed="false">
      <c r="A277" s="29" t="s">
        <v>399</v>
      </c>
      <c r="B277" s="30" t="n">
        <f aca="false">IF(Raw_Data!B286="","",IF(ISTEXT(Raw_Data!B286),IFERROR(DATE(VALUE(RIGHT(TRIM(Raw_Data!B286),4)),VALUE(MID(TRIM(Raw_Data!B286),4,2)),VALUE(LEFT(TRIM(Raw_Data!B286),2))),"CHECK"),Raw_Data!B286))</f>
        <v>46110</v>
      </c>
      <c r="C277" s="31" t="str">
        <f aca="false">IFERROR(INDEX(Reference_Lists!$C$23:$C$35,MATCH(PROPER(TRIM(Raw_Data!C286)),Reference_Lists!$B$23:$B$35,0)),"UNMATCHED")</f>
        <v>Phone Hotline</v>
      </c>
      <c r="D277" s="31" t="str">
        <f aca="false">IFERROR(INDEX(Reference_Lists!$C$36:$C$50,MATCH(PROPER(TRIM(Raw_Data!D286)),Reference_Lists!$B$36:$B$50,0)),"UNMATCHED")</f>
        <v>Khan Yunis</v>
      </c>
      <c r="E277" s="31" t="str">
        <f aca="false">IF(Raw_Data!E286="","",Raw_Data!E286)</f>
        <v>Health</v>
      </c>
      <c r="F277" s="31" t="str">
        <f aca="false">IF(Raw_Data!F286="","",Raw_Data!F286)</f>
        <v>Request for Information</v>
      </c>
      <c r="G277" s="32" t="str">
        <f aca="false">IF(Raw_Data!G286="","",Raw_Data!G286)</f>
        <v>Non-Sensitive</v>
      </c>
      <c r="H277" s="32" t="str">
        <f aca="false">IFERROR(INDEX(Reference_Lists!$C$51:$C$57,MATCH(PROPER(TRIM(Raw_Data!H286)),Reference_Lists!$B$51:$B$57,0)),"UNMATCHED")</f>
        <v>Male</v>
      </c>
      <c r="I277" s="32" t="str">
        <f aca="false">IF(Raw_Data!I286="","",Raw_Data!I286)</f>
        <v>18-29</v>
      </c>
      <c r="J277" s="32" t="str">
        <f aca="false">IFERROR(INDEX(Reference_Lists!$C$58:$C$65,MATCH(PROPER(TRIM(Raw_Data!J286)),Reference_Lists!$B$58:$B$65,0)),"UNMATCHED")</f>
        <v>In Progress</v>
      </c>
      <c r="K277" s="30" t="str">
        <f aca="false">IF(Raw_Data!K286="","",IF(ISTEXT(Raw_Data!K286),IFERROR(DATE(VALUE(RIGHT(TRIM(Raw_Data!K286),4)),VALUE(MID(TRIM(Raw_Data!K286),4,2)),VALUE(LEFT(TRIM(Raw_Data!K286),2))),"CHECK"),Raw_Data!K286))</f>
        <v/>
      </c>
      <c r="L277" s="33" t="str">
        <f aca="false">IF(Raw_Data!L286="","",Raw_Data!L286)</f>
        <v>Clinic opening hours are not clear to the community.</v>
      </c>
      <c r="M277" s="34" t="str">
        <f aca="false">IF(OR(B277="",K277=""),"",IFERROR(K277-B277,"CHECK"))</f>
        <v/>
      </c>
      <c r="N277" s="34" t="n">
        <f aca="false">IFERROR(INDEX(Reference_Lists!$H$13:$H$14,MATCH(G277,Reference_Lists!$G$13:$G$14,0)),"UNMATCHED")</f>
        <v>15</v>
      </c>
      <c r="O277" s="32" t="str">
        <f aca="false">IF(AND(J277="Closed",ISNUMBER(M277),ISNUMBER(N277),M277&gt;=0),M277&lt;=N277,"NOT ASSESSED")</f>
        <v>NOT ASSESSED</v>
      </c>
      <c r="P277" s="36" t="str">
        <f aca="false">Raw_Data!A286</f>
        <v>CFM-2026-0354</v>
      </c>
      <c r="Q277" s="37" t="str">
        <f aca="false">IFERROR(IF(OR($A277="",$P277=""),"MISSING ID",IF(EXACT($A277,$P277),"ALIGNED","MISMATCH")),"CHECK")</f>
        <v>ALIGNED</v>
      </c>
    </row>
    <row r="278" customFormat="false" ht="19.5" hidden="false" customHeight="true" outlineLevel="0" collapsed="false">
      <c r="A278" s="29" t="s">
        <v>401</v>
      </c>
      <c r="B278" s="30" t="n">
        <f aca="false">IF(Raw_Data!B287="","",IF(ISTEXT(Raw_Data!B287),IFERROR(DATE(VALUE(RIGHT(TRIM(Raw_Data!B287),4)),VALUE(MID(TRIM(Raw_Data!B287),4,2)),VALUE(LEFT(TRIM(Raw_Data!B287),2))),"CHECK"),Raw_Data!B287))</f>
        <v>46033</v>
      </c>
      <c r="C278" s="31" t="str">
        <f aca="false">IFERROR(INDEX(Reference_Lists!$C$23:$C$35,MATCH(PROPER(TRIM(Raw_Data!C287)),Reference_Lists!$B$23:$B$35,0)),"UNMATCHED")</f>
        <v>Help Desk</v>
      </c>
      <c r="D278" s="31" t="str">
        <f aca="false">IFERROR(INDEX(Reference_Lists!$C$36:$C$50,MATCH(PROPER(TRIM(Raw_Data!D287)),Reference_Lists!$B$36:$B$50,0)),"UNMATCHED")</f>
        <v>Khan Yunis</v>
      </c>
      <c r="E278" s="31" t="str">
        <f aca="false">IF(Raw_Data!E287="","",Raw_Data!E287)</f>
        <v>Nutrition</v>
      </c>
      <c r="F278" s="31" t="str">
        <f aca="false">IF(Raw_Data!F287="","",Raw_Data!F287)</f>
        <v>Complaint</v>
      </c>
      <c r="G278" s="32" t="str">
        <f aca="false">IF(Raw_Data!G287="","",Raw_Data!G287)</f>
        <v>Non-Sensitive</v>
      </c>
      <c r="H278" s="32" t="str">
        <f aca="false">IFERROR(INDEX(Reference_Lists!$C$51:$C$57,MATCH(PROPER(TRIM(Raw_Data!H287)),Reference_Lists!$B$51:$B$57,0)),"UNMATCHED")</f>
        <v>Female</v>
      </c>
      <c r="I278" s="32" t="str">
        <f aca="false">IF(Raw_Data!I287="","",Raw_Data!I287)</f>
        <v>18-29</v>
      </c>
      <c r="J278" s="32" t="str">
        <f aca="false">IFERROR(INDEX(Reference_Lists!$C$58:$C$65,MATCH(PROPER(TRIM(Raw_Data!J287)),Reference_Lists!$B$58:$B$65,0)),"UNMATCHED")</f>
        <v>Closed</v>
      </c>
      <c r="K278" s="30" t="n">
        <f aca="false">IF(Raw_Data!K287="","",IF(ISTEXT(Raw_Data!K287),IFERROR(DATE(VALUE(RIGHT(TRIM(Raw_Data!K287),4)),VALUE(MID(TRIM(Raw_Data!K287),4,2)),VALUE(LEFT(TRIM(Raw_Data!K287),2))),"CHECK"),Raw_Data!K287))</f>
        <v>46036</v>
      </c>
      <c r="L278" s="33" t="str">
        <f aca="false">IF(Raw_Data!L287="","",Raw_Data!L287)</f>
        <v>Asking whether children above five are included in the screening.</v>
      </c>
      <c r="M278" s="34" t="n">
        <f aca="false">IF(OR(B278="",K278=""),"",IFERROR(K278-B278,"CHECK"))</f>
        <v>3</v>
      </c>
      <c r="N278" s="34" t="n">
        <f aca="false">IFERROR(INDEX(Reference_Lists!$H$13:$H$14,MATCH(G278,Reference_Lists!$G$13:$G$14,0)),"UNMATCHED")</f>
        <v>15</v>
      </c>
      <c r="O278" s="35" t="b">
        <f aca="false">IF(AND(J278="Closed",ISNUMBER(M278),ISNUMBER(N278),M278&gt;=0),M278&lt;=N278,"NOT ASSESSED")</f>
        <v>1</v>
      </c>
      <c r="P278" s="36" t="str">
        <f aca="false">Raw_Data!A287</f>
        <v>CFM-2026-0237</v>
      </c>
      <c r="Q278" s="37" t="str">
        <f aca="false">IFERROR(IF(OR($A278="",$P278=""),"MISSING ID",IF(EXACT($A278,$P278),"ALIGNED","MISMATCH")),"CHECK")</f>
        <v>ALIGNED</v>
      </c>
    </row>
    <row r="279" customFormat="false" ht="19.5" hidden="false" customHeight="true" outlineLevel="0" collapsed="false">
      <c r="A279" s="29" t="s">
        <v>402</v>
      </c>
      <c r="B279" s="30" t="n">
        <f aca="false">IF(Raw_Data!B288="","",IF(ISTEXT(Raw_Data!B288),IFERROR(DATE(VALUE(RIGHT(TRIM(Raw_Data!B288),4)),VALUE(MID(TRIM(Raw_Data!B288),4,2)),VALUE(LEFT(TRIM(Raw_Data!B288),2))),"CHECK"),Raw_Data!B288))</f>
        <v>46076</v>
      </c>
      <c r="C279" s="31" t="str">
        <f aca="false">IFERROR(INDEX(Reference_Lists!$C$23:$C$35,MATCH(PROPER(TRIM(Raw_Data!C288)),Reference_Lists!$B$23:$B$35,0)),"UNMATCHED")</f>
        <v>Phone Hotline</v>
      </c>
      <c r="D279" s="31" t="str">
        <f aca="false">IFERROR(INDEX(Reference_Lists!$C$36:$C$50,MATCH(PROPER(TRIM(Raw_Data!D288)),Reference_Lists!$B$36:$B$50,0)),"UNMATCHED")</f>
        <v>Gaza City</v>
      </c>
      <c r="E279" s="31" t="str">
        <f aca="false">IF(Raw_Data!E288="","",Raw_Data!E288)</f>
        <v>Health</v>
      </c>
      <c r="F279" s="31" t="str">
        <f aca="false">IF(Raw_Data!F288="","",Raw_Data!F288)</f>
        <v>Complaint</v>
      </c>
      <c r="G279" s="32" t="str">
        <f aca="false">IF(Raw_Data!G288="","",Raw_Data!G288)</f>
        <v>Non-Sensitive</v>
      </c>
      <c r="H279" s="32" t="str">
        <f aca="false">IFERROR(INDEX(Reference_Lists!$C$51:$C$57,MATCH(PROPER(TRIM(Raw_Data!H288)),Reference_Lists!$B$51:$B$57,0)),"UNMATCHED")</f>
        <v>Male</v>
      </c>
      <c r="I279" s="32" t="str">
        <f aca="false">IF(Raw_Data!I288="","",Raw_Data!I288)</f>
        <v>18-29</v>
      </c>
      <c r="J279" s="32" t="str">
        <f aca="false">IFERROR(INDEX(Reference_Lists!$C$58:$C$65,MATCH(PROPER(TRIM(Raw_Data!J288)),Reference_Lists!$B$58:$B$65,0)),"UNMATCHED")</f>
        <v>Closed</v>
      </c>
      <c r="K279" s="30" t="n">
        <f aca="false">IF(Raw_Data!K288="","",IF(ISTEXT(Raw_Data!K288),IFERROR(DATE(VALUE(RIGHT(TRIM(Raw_Data!K288),4)),VALUE(MID(TRIM(Raw_Data!K288),4,2)),VALUE(LEFT(TRIM(Raw_Data!K288),2))),"CHECK"),Raw_Data!K288))</f>
        <v>46104</v>
      </c>
      <c r="L279" s="33" t="str">
        <f aca="false">IF(Raw_Data!L288="","",Raw_Data!L288)</f>
        <v>Requesting a referral pathway for a family member with limited mobility.</v>
      </c>
      <c r="M279" s="34" t="n">
        <f aca="false">IF(OR(B279="",K279=""),"",IFERROR(K279-B279,"CHECK"))</f>
        <v>28</v>
      </c>
      <c r="N279" s="34" t="n">
        <f aca="false">IFERROR(INDEX(Reference_Lists!$H$13:$H$14,MATCH(G279,Reference_Lists!$G$13:$G$14,0)),"UNMATCHED")</f>
        <v>15</v>
      </c>
      <c r="O279" s="35" t="b">
        <f aca="false">IF(AND(J279="Closed",ISNUMBER(M279),ISNUMBER(N279),M279&gt;=0),M279&lt;=N279,"NOT ASSESSED")</f>
        <v>0</v>
      </c>
      <c r="P279" s="36" t="str">
        <f aca="false">Raw_Data!A288</f>
        <v>CFM-2026-0393</v>
      </c>
      <c r="Q279" s="37" t="str">
        <f aca="false">IFERROR(IF(OR($A279="",$P279=""),"MISSING ID",IF(EXACT($A279,$P279),"ALIGNED","MISMATCH")),"CHECK")</f>
        <v>ALIGNED</v>
      </c>
    </row>
    <row r="280" customFormat="false" ht="19.5" hidden="false" customHeight="true" outlineLevel="0" collapsed="false">
      <c r="A280" s="29" t="s">
        <v>403</v>
      </c>
      <c r="B280" s="30" t="n">
        <f aca="false">IF(Raw_Data!B289="","",IF(ISTEXT(Raw_Data!B289),IFERROR(DATE(VALUE(RIGHT(TRIM(Raw_Data!B289),4)),VALUE(MID(TRIM(Raw_Data!B289),4,2)),VALUE(LEFT(TRIM(Raw_Data!B289),2))),"CHECK"),Raw_Data!B289))</f>
        <v>46055</v>
      </c>
      <c r="C280" s="31" t="str">
        <f aca="false">IFERROR(INDEX(Reference_Lists!$C$23:$C$35,MATCH(PROPER(TRIM(Raw_Data!C289)),Reference_Lists!$B$23:$B$35,0)),"UNMATCHED")</f>
        <v>Community Focal Point</v>
      </c>
      <c r="D280" s="31" t="str">
        <f aca="false">IFERROR(INDEX(Reference_Lists!$C$36:$C$50,MATCH(PROPER(TRIM(Raw_Data!D289)),Reference_Lists!$B$36:$B$50,0)),"UNMATCHED")</f>
        <v>Deir al-Balah</v>
      </c>
      <c r="E280" s="31" t="str">
        <f aca="false">IF(Raw_Data!E289="","",Raw_Data!E289)</f>
        <v>Food Security</v>
      </c>
      <c r="F280" s="31" t="str">
        <f aca="false">IF(Raw_Data!F289="","",Raw_Data!F289)</f>
        <v>Suggestion</v>
      </c>
      <c r="G280" s="32" t="str">
        <f aca="false">IF(Raw_Data!G289="","",Raw_Data!G289)</f>
        <v>Non-Sensitive</v>
      </c>
      <c r="H280" s="32" t="str">
        <f aca="false">IFERROR(INDEX(Reference_Lists!$C$51:$C$57,MATCH(PROPER(TRIM(Raw_Data!H289)),Reference_Lists!$B$51:$B$57,0)),"UNMATCHED")</f>
        <v>Female</v>
      </c>
      <c r="I280" s="32" t="str">
        <f aca="false">IF(Raw_Data!I289="","",Raw_Data!I289)</f>
        <v>45-59</v>
      </c>
      <c r="J280" s="32" t="str">
        <f aca="false">IFERROR(INDEX(Reference_Lists!$C$58:$C$65,MATCH(PROPER(TRIM(Raw_Data!J289)),Reference_Lists!$B$58:$B$65,0)),"UNMATCHED")</f>
        <v>Closed</v>
      </c>
      <c r="K280" s="30" t="n">
        <f aca="false">IF(Raw_Data!K289="","",IF(ISTEXT(Raw_Data!K289),IFERROR(DATE(VALUE(RIGHT(TRIM(Raw_Data!K289),4)),VALUE(MID(TRIM(Raw_Data!K289),4,2)),VALUE(LEFT(TRIM(Raw_Data!K289),2))),"CHECK"),Raw_Data!K289))</f>
        <v>46081</v>
      </c>
      <c r="L280" s="33" t="str">
        <f aca="false">IF(Raw_Data!L289="","",Raw_Data!L289)</f>
        <v>Distribution point is far and transport cost is high for our family.</v>
      </c>
      <c r="M280" s="34" t="n">
        <f aca="false">IF(OR(B280="",K280=""),"",IFERROR(K280-B280,"CHECK"))</f>
        <v>26</v>
      </c>
      <c r="N280" s="34" t="n">
        <f aca="false">IFERROR(INDEX(Reference_Lists!$H$13:$H$14,MATCH(G280,Reference_Lists!$G$13:$G$14,0)),"UNMATCHED")</f>
        <v>15</v>
      </c>
      <c r="O280" s="35" t="b">
        <f aca="false">IF(AND(J280="Closed",ISNUMBER(M280),ISNUMBER(N280),M280&gt;=0),M280&lt;=N280,"NOT ASSESSED")</f>
        <v>0</v>
      </c>
      <c r="P280" s="36" t="str">
        <f aca="false">Raw_Data!A289</f>
        <v>CFM-2026-0220</v>
      </c>
      <c r="Q280" s="37" t="str">
        <f aca="false">IFERROR(IF(OR($A280="",$P280=""),"MISSING ID",IF(EXACT($A280,$P280),"ALIGNED","MISMATCH")),"CHECK")</f>
        <v>ALIGNED</v>
      </c>
    </row>
    <row r="281" customFormat="false" ht="19.5" hidden="false" customHeight="true" outlineLevel="0" collapsed="false">
      <c r="A281" s="29" t="s">
        <v>404</v>
      </c>
      <c r="B281" s="30" t="n">
        <f aca="false">IF(Raw_Data!B290="","",IF(ISTEXT(Raw_Data!B290),IFERROR(DATE(VALUE(RIGHT(TRIM(Raw_Data!B290),4)),VALUE(MID(TRIM(Raw_Data!B290),4,2)),VALUE(LEFT(TRIM(Raw_Data!B290),2))),"CHECK"),Raw_Data!B290))</f>
        <v>46068</v>
      </c>
      <c r="C281" s="31" t="str">
        <f aca="false">IFERROR(INDEX(Reference_Lists!$C$23:$C$35,MATCH(PROPER(TRIM(Raw_Data!C290)),Reference_Lists!$B$23:$B$35,0)),"UNMATCHED")</f>
        <v>Community Focal Point</v>
      </c>
      <c r="D281" s="31" t="str">
        <f aca="false">IFERROR(INDEX(Reference_Lists!$C$36:$C$50,MATCH(PROPER(TRIM(Raw_Data!D290)),Reference_Lists!$B$36:$B$50,0)),"UNMATCHED")</f>
        <v>Deir al-Balah</v>
      </c>
      <c r="E281" s="31" t="str">
        <f aca="false">IF(Raw_Data!E290="","",Raw_Data!E290)</f>
        <v>Food Security</v>
      </c>
      <c r="F281" s="31" t="str">
        <f aca="false">IF(Raw_Data!F290="","",Raw_Data!F290)</f>
        <v>Complaint</v>
      </c>
      <c r="G281" s="32" t="str">
        <f aca="false">IF(Raw_Data!G290="","",Raw_Data!G290)</f>
        <v>Non-Sensitive</v>
      </c>
      <c r="H281" s="32" t="str">
        <f aca="false">IFERROR(INDEX(Reference_Lists!$C$51:$C$57,MATCH(PROPER(TRIM(Raw_Data!H290)),Reference_Lists!$B$51:$B$57,0)),"UNMATCHED")</f>
        <v>Prefer not to say</v>
      </c>
      <c r="I281" s="32" t="str">
        <f aca="false">IF(Raw_Data!I290="","",Raw_Data!I290)</f>
        <v>45-59</v>
      </c>
      <c r="J281" s="32" t="str">
        <f aca="false">IFERROR(INDEX(Reference_Lists!$C$58:$C$65,MATCH(PROPER(TRIM(Raw_Data!J290)),Reference_Lists!$B$58:$B$65,0)),"UNMATCHED")</f>
        <v>In Progress</v>
      </c>
      <c r="K281" s="30" t="str">
        <f aca="false">IF(Raw_Data!K290="","",IF(ISTEXT(Raw_Data!K290),IFERROR(DATE(VALUE(RIGHT(TRIM(Raw_Data!K290),4)),VALUE(MID(TRIM(Raw_Data!K290),4,2)),VALUE(LEFT(TRIM(Raw_Data!K290),2))),"CHECK"),Raw_Data!K290))</f>
        <v/>
      </c>
      <c r="L281" s="33" t="str">
        <f aca="false">IF(Raw_Data!L290="","",Raw_Data!L290)</f>
        <v>Thanking the team for organising the last distribution well.</v>
      </c>
      <c r="M281" s="34" t="str">
        <f aca="false">IF(OR(B281="",K281=""),"",IFERROR(K281-B281,"CHECK"))</f>
        <v/>
      </c>
      <c r="N281" s="34" t="n">
        <f aca="false">IFERROR(INDEX(Reference_Lists!$H$13:$H$14,MATCH(G281,Reference_Lists!$G$13:$G$14,0)),"UNMATCHED")</f>
        <v>15</v>
      </c>
      <c r="O281" s="32" t="str">
        <f aca="false">IF(AND(J281="Closed",ISNUMBER(M281),ISNUMBER(N281),M281&gt;=0),M281&lt;=N281,"NOT ASSESSED")</f>
        <v>NOT ASSESSED</v>
      </c>
      <c r="P281" s="36" t="str">
        <f aca="false">Raw_Data!A290</f>
        <v>CFM-2026-0138</v>
      </c>
      <c r="Q281" s="37" t="str">
        <f aca="false">IFERROR(IF(OR($A281="",$P281=""),"MISSING ID",IF(EXACT($A281,$P281),"ALIGNED","MISMATCH")),"CHECK")</f>
        <v>ALIGNED</v>
      </c>
    </row>
    <row r="282" customFormat="false" ht="19.5" hidden="false" customHeight="true" outlineLevel="0" collapsed="false">
      <c r="A282" s="29" t="s">
        <v>405</v>
      </c>
      <c r="B282" s="30" t="n">
        <f aca="false">IF(Raw_Data!B291="","",IF(ISTEXT(Raw_Data!B291),IFERROR(DATE(VALUE(RIGHT(TRIM(Raw_Data!B291),4)),VALUE(MID(TRIM(Raw_Data!B291),4,2)),VALUE(LEFT(TRIM(Raw_Data!B291),2))),"CHECK"),Raw_Data!B291))</f>
        <v>46140</v>
      </c>
      <c r="C282" s="31" t="str">
        <f aca="false">IFERROR(INDEX(Reference_Lists!$C$23:$C$35,MATCH(PROPER(TRIM(Raw_Data!C291)),Reference_Lists!$B$23:$B$35,0)),"UNMATCHED")</f>
        <v>Suggestion Box</v>
      </c>
      <c r="D282" s="31" t="str">
        <f aca="false">IFERROR(INDEX(Reference_Lists!$C$36:$C$50,MATCH(PROPER(TRIM(Raw_Data!D291)),Reference_Lists!$B$36:$B$50,0)),"UNMATCHED")</f>
        <v>Gaza City</v>
      </c>
      <c r="E282" s="31" t="str">
        <f aca="false">IF(Raw_Data!E291="","",Raw_Data!E291)</f>
        <v>Nutrition</v>
      </c>
      <c r="F282" s="31" t="str">
        <f aca="false">IF(Raw_Data!F291="","",Raw_Data!F291)</f>
        <v>Request for Information</v>
      </c>
      <c r="G282" s="32" t="str">
        <f aca="false">IF(Raw_Data!G291="","",Raw_Data!G291)</f>
        <v/>
      </c>
      <c r="H282" s="32" t="str">
        <f aca="false">IFERROR(INDEX(Reference_Lists!$C$51:$C$57,MATCH(PROPER(TRIM(Raw_Data!H291)),Reference_Lists!$B$51:$B$57,0)),"UNMATCHED")</f>
        <v>Male</v>
      </c>
      <c r="I282" s="32" t="str">
        <f aca="false">IF(Raw_Data!I291="","",Raw_Data!I291)</f>
        <v>18-29</v>
      </c>
      <c r="J282" s="32" t="str">
        <f aca="false">IFERROR(INDEX(Reference_Lists!$C$58:$C$65,MATCH(PROPER(TRIM(Raw_Data!J291)),Reference_Lists!$B$58:$B$65,0)),"UNMATCHED")</f>
        <v>In Progress</v>
      </c>
      <c r="K282" s="30" t="str">
        <f aca="false">IF(Raw_Data!K291="","",IF(ISTEXT(Raw_Data!K291),IFERROR(DATE(VALUE(RIGHT(TRIM(Raw_Data!K291),4)),VALUE(MID(TRIM(Raw_Data!K291),4,2)),VALUE(LEFT(TRIM(Raw_Data!K291),2))),"CHECK"),Raw_Data!K291))</f>
        <v/>
      </c>
      <c r="L282" s="33" t="str">
        <f aca="false">IF(Raw_Data!L291="","",Raw_Data!L291)</f>
        <v>Asking whether children above five are included in the screening.</v>
      </c>
      <c r="M282" s="34" t="str">
        <f aca="false">IF(OR(B282="",K282=""),"",IFERROR(K282-B282,"CHECK"))</f>
        <v/>
      </c>
      <c r="N282" s="34" t="str">
        <f aca="false">IFERROR(INDEX(Reference_Lists!$H$13:$H$14,MATCH(G282,Reference_Lists!$G$13:$G$14,0)),"UNMATCHED")</f>
        <v>UNMATCHED</v>
      </c>
      <c r="O282" s="32" t="str">
        <f aca="false">IF(AND(J282="Closed",ISNUMBER(M282),ISNUMBER(N282),M282&gt;=0),M282&lt;=N282,"NOT ASSESSED")</f>
        <v>NOT ASSESSED</v>
      </c>
      <c r="P282" s="36" t="str">
        <f aca="false">Raw_Data!A291</f>
        <v>CFM-2026-0171</v>
      </c>
      <c r="Q282" s="37" t="str">
        <f aca="false">IFERROR(IF(OR($A282="",$P282=""),"MISSING ID",IF(EXACT($A282,$P282),"ALIGNED","MISMATCH")),"CHECK")</f>
        <v>ALIGNED</v>
      </c>
    </row>
    <row r="283" customFormat="false" ht="19.5" hidden="false" customHeight="true" outlineLevel="0" collapsed="false">
      <c r="A283" s="29" t="s">
        <v>406</v>
      </c>
      <c r="B283" s="30" t="n">
        <f aca="false">IF(Raw_Data!B292="","",IF(ISTEXT(Raw_Data!B292),IFERROR(DATE(VALUE(RIGHT(TRIM(Raw_Data!B292),4)),VALUE(MID(TRIM(Raw_Data!B292),4,2)),VALUE(LEFT(TRIM(Raw_Data!B292),2))),"CHECK"),Raw_Data!B292))</f>
        <v>46055</v>
      </c>
      <c r="C283" s="31" t="str">
        <f aca="false">IFERROR(INDEX(Reference_Lists!$C$23:$C$35,MATCH(PROPER(TRIM(Raw_Data!C292)),Reference_Lists!$B$23:$B$35,0)),"UNMATCHED")</f>
        <v>In-Person at Distribution</v>
      </c>
      <c r="D283" s="31" t="str">
        <f aca="false">IFERROR(INDEX(Reference_Lists!$C$36:$C$50,MATCH(PROPER(TRIM(Raw_Data!D292)),Reference_Lists!$B$36:$B$50,0)),"UNMATCHED")</f>
        <v>Deir al-Balah</v>
      </c>
      <c r="E283" s="31" t="str">
        <f aca="false">IF(Raw_Data!E292="","",Raw_Data!E292)</f>
        <v>Shelter</v>
      </c>
      <c r="F283" s="31" t="str">
        <f aca="false">IF(Raw_Data!F292="","",Raw_Data!F292)</f>
        <v>Sensitive Complaint</v>
      </c>
      <c r="G283" s="32" t="str">
        <f aca="false">IF(Raw_Data!G292="","",Raw_Data!G292)</f>
        <v>Sensitive</v>
      </c>
      <c r="H283" s="32" t="str">
        <f aca="false">IFERROR(INDEX(Reference_Lists!$C$51:$C$57,MATCH(PROPER(TRIM(Raw_Data!H292)),Reference_Lists!$B$51:$B$57,0)),"UNMATCHED")</f>
        <v>Male</v>
      </c>
      <c r="I283" s="32" t="str">
        <f aca="false">IF(Raw_Data!I292="","",Raw_Data!I292)</f>
        <v>18-29</v>
      </c>
      <c r="J283" s="32" t="str">
        <f aca="false">IFERROR(INDEX(Reference_Lists!$C$58:$C$65,MATCH(PROPER(TRIM(Raw_Data!J292)),Reference_Lists!$B$58:$B$65,0)),"UNMATCHED")</f>
        <v>Closed</v>
      </c>
      <c r="K283" s="30" t="n">
        <f aca="false">IF(Raw_Data!K292="","",IF(ISTEXT(Raw_Data!K292),IFERROR(DATE(VALUE(RIGHT(TRIM(Raw_Data!K292),4)),VALUE(MID(TRIM(Raw_Data!K292),4,2)),VALUE(LEFT(TRIM(Raw_Data!K292),2))),"CHECK"),Raw_Data!K292))</f>
        <v>46083</v>
      </c>
      <c r="L283" s="33" t="str">
        <f aca="false">IF(Raw_Data!L292="","",Raw_Data!L292)</f>
        <v>Sensitive case - details recorded separately by the focal point; not stored in this tracker.</v>
      </c>
      <c r="M283" s="34" t="n">
        <f aca="false">IF(OR(B283="",K283=""),"",IFERROR(K283-B283,"CHECK"))</f>
        <v>28</v>
      </c>
      <c r="N283" s="34" t="n">
        <f aca="false">IFERROR(INDEX(Reference_Lists!$H$13:$H$14,MATCH(G283,Reference_Lists!$G$13:$G$14,0)),"UNMATCHED")</f>
        <v>3</v>
      </c>
      <c r="O283" s="35" t="b">
        <f aca="false">IF(AND(J283="Closed",ISNUMBER(M283),ISNUMBER(N283),M283&gt;=0),M283&lt;=N283,"NOT ASSESSED")</f>
        <v>0</v>
      </c>
      <c r="P283" s="36" t="str">
        <f aca="false">Raw_Data!A292</f>
        <v>CFM-2026-0250</v>
      </c>
      <c r="Q283" s="37" t="str">
        <f aca="false">IFERROR(IF(OR($A283="",$P283=""),"MISSING ID",IF(EXACT($A283,$P283),"ALIGNED","MISMATCH")),"CHECK")</f>
        <v>ALIGNED</v>
      </c>
    </row>
    <row r="284" customFormat="false" ht="19.5" hidden="false" customHeight="true" outlineLevel="0" collapsed="false">
      <c r="A284" s="29" t="s">
        <v>407</v>
      </c>
      <c r="B284" s="30" t="n">
        <f aca="false">IF(Raw_Data!B293="","",IF(ISTEXT(Raw_Data!B293),IFERROR(DATE(VALUE(RIGHT(TRIM(Raw_Data!B293),4)),VALUE(MID(TRIM(Raw_Data!B293),4,2)),VALUE(LEFT(TRIM(Raw_Data!B293),2))),"CHECK"),Raw_Data!B293))</f>
        <v>46211</v>
      </c>
      <c r="C284" s="31" t="str">
        <f aca="false">IFERROR(INDEX(Reference_Lists!$C$23:$C$35,MATCH(PROPER(TRIM(Raw_Data!C293)),Reference_Lists!$B$23:$B$35,0)),"UNMATCHED")</f>
        <v>Phone Hotline</v>
      </c>
      <c r="D284" s="31" t="str">
        <f aca="false">IFERROR(INDEX(Reference_Lists!$C$36:$C$50,MATCH(PROPER(TRIM(Raw_Data!D293)),Reference_Lists!$B$36:$B$50,0)),"UNMATCHED")</f>
        <v>Deir al-Balah</v>
      </c>
      <c r="E284" s="31" t="str">
        <f aca="false">IF(Raw_Data!E293="","",Raw_Data!E293)</f>
        <v>WASH</v>
      </c>
      <c r="F284" s="31" t="str">
        <f aca="false">IF(Raw_Data!F293="","",Raw_Data!F293)</f>
        <v>Complaint</v>
      </c>
      <c r="G284" s="32" t="str">
        <f aca="false">IF(Raw_Data!G293="","",Raw_Data!G293)</f>
        <v>Non-Sensitive</v>
      </c>
      <c r="H284" s="32" t="str">
        <f aca="false">IFERROR(INDEX(Reference_Lists!$C$51:$C$57,MATCH(PROPER(TRIM(Raw_Data!H293)),Reference_Lists!$B$51:$B$57,0)),"UNMATCHED")</f>
        <v>Male</v>
      </c>
      <c r="I284" s="32" t="str">
        <f aca="false">IF(Raw_Data!I293="","",Raw_Data!I293)</f>
        <v>30-44</v>
      </c>
      <c r="J284" s="32" t="str">
        <f aca="false">IFERROR(INDEX(Reference_Lists!$C$58:$C$65,MATCH(PROPER(TRIM(Raw_Data!J293)),Reference_Lists!$B$58:$B$65,0)),"UNMATCHED")</f>
        <v>Open</v>
      </c>
      <c r="K284" s="30" t="str">
        <f aca="false">IF(Raw_Data!K293="","",IF(ISTEXT(Raw_Data!K293),IFERROR(DATE(VALUE(RIGHT(TRIM(Raw_Data!K293),4)),VALUE(MID(TRIM(Raw_Data!K293),4,2)),VALUE(LEFT(TRIM(Raw_Data!K293),2))),"CHECK"),Raw_Data!K293))</f>
        <v/>
      </c>
      <c r="L284" s="33" t="str">
        <f aca="false">IF(Raw_Data!L293="","",Raw_Data!L293)</f>
        <v>The queue at the water point is not organised and older people cannot wait.</v>
      </c>
      <c r="M284" s="34" t="str">
        <f aca="false">IF(OR(B284="",K284=""),"",IFERROR(K284-B284,"CHECK"))</f>
        <v/>
      </c>
      <c r="N284" s="34" t="n">
        <f aca="false">IFERROR(INDEX(Reference_Lists!$H$13:$H$14,MATCH(G284,Reference_Lists!$G$13:$G$14,0)),"UNMATCHED")</f>
        <v>15</v>
      </c>
      <c r="O284" s="32" t="str">
        <f aca="false">IF(AND(J284="Closed",ISNUMBER(M284),ISNUMBER(N284),M284&gt;=0),M284&lt;=N284,"NOT ASSESSED")</f>
        <v>NOT ASSESSED</v>
      </c>
      <c r="P284" s="36" t="str">
        <f aca="false">Raw_Data!A293</f>
        <v>CFM-2026-0363</v>
      </c>
      <c r="Q284" s="37" t="str">
        <f aca="false">IFERROR(IF(OR($A284="",$P284=""),"MISSING ID",IF(EXACT($A284,$P284),"ALIGNED","MISMATCH")),"CHECK")</f>
        <v>ALIGNED</v>
      </c>
    </row>
    <row r="285" customFormat="false" ht="19.5" hidden="false" customHeight="true" outlineLevel="0" collapsed="false">
      <c r="A285" s="29" t="s">
        <v>408</v>
      </c>
      <c r="B285" s="30" t="n">
        <f aca="false">IF(Raw_Data!B294="","",IF(ISTEXT(Raw_Data!B294),IFERROR(DATE(VALUE(RIGHT(TRIM(Raw_Data!B294),4)),VALUE(MID(TRIM(Raw_Data!B294),4,2)),VALUE(LEFT(TRIM(Raw_Data!B294),2))),"CHECK"),Raw_Data!B294))</f>
        <v>46178</v>
      </c>
      <c r="C285" s="31" t="str">
        <f aca="false">IFERROR(INDEX(Reference_Lists!$C$23:$C$35,MATCH(PROPER(TRIM(Raw_Data!C294)),Reference_Lists!$B$23:$B$35,0)),"UNMATCHED")</f>
        <v>Help Desk</v>
      </c>
      <c r="D285" s="31" t="str">
        <f aca="false">IFERROR(INDEX(Reference_Lists!$C$36:$C$50,MATCH(PROPER(TRIM(Raw_Data!D294)),Reference_Lists!$B$36:$B$50,0)),"UNMATCHED")</f>
        <v>Jabalia</v>
      </c>
      <c r="E285" s="31" t="str">
        <f aca="false">IF(Raw_Data!E294="","",Raw_Data!E294)</f>
        <v>WASH</v>
      </c>
      <c r="F285" s="31" t="str">
        <f aca="false">IF(Raw_Data!F294="","",Raw_Data!F294)</f>
        <v>Sensitive Complaint</v>
      </c>
      <c r="G285" s="32" t="str">
        <f aca="false">IF(Raw_Data!G294="","",Raw_Data!G294)</f>
        <v>Sensitive</v>
      </c>
      <c r="H285" s="32" t="str">
        <f aca="false">IFERROR(INDEX(Reference_Lists!$C$51:$C$57,MATCH(PROPER(TRIM(Raw_Data!H294)),Reference_Lists!$B$51:$B$57,0)),"UNMATCHED")</f>
        <v>Male</v>
      </c>
      <c r="I285" s="32" t="str">
        <f aca="false">IF(Raw_Data!I294="","",Raw_Data!I294)</f>
        <v>30-44</v>
      </c>
      <c r="J285" s="32" t="str">
        <f aca="false">IFERROR(INDEX(Reference_Lists!$C$58:$C$65,MATCH(PROPER(TRIM(Raw_Data!J294)),Reference_Lists!$B$58:$B$65,0)),"UNMATCHED")</f>
        <v>In Progress</v>
      </c>
      <c r="K285" s="30" t="str">
        <f aca="false">IF(Raw_Data!K294="","",IF(ISTEXT(Raw_Data!K294),IFERROR(DATE(VALUE(RIGHT(TRIM(Raw_Data!K294),4)),VALUE(MID(TRIM(Raw_Data!K294),4,2)),VALUE(LEFT(TRIM(Raw_Data!K294),2))),"CHECK"),Raw_Data!K294))</f>
        <v/>
      </c>
      <c r="L285" s="33" t="str">
        <f aca="false">IF(Raw_Data!L294="","",Raw_Data!L294)</f>
        <v>Sensitive case - details recorded separately by the focal point; not stored in this tracker.</v>
      </c>
      <c r="M285" s="34" t="str">
        <f aca="false">IF(OR(B285="",K285=""),"",IFERROR(K285-B285,"CHECK"))</f>
        <v/>
      </c>
      <c r="N285" s="34" t="n">
        <f aca="false">IFERROR(INDEX(Reference_Lists!$H$13:$H$14,MATCH(G285,Reference_Lists!$G$13:$G$14,0)),"UNMATCHED")</f>
        <v>3</v>
      </c>
      <c r="O285" s="32" t="str">
        <f aca="false">IF(AND(J285="Closed",ISNUMBER(M285),ISNUMBER(N285),M285&gt;=0),M285&lt;=N285,"NOT ASSESSED")</f>
        <v>NOT ASSESSED</v>
      </c>
      <c r="P285" s="36" t="str">
        <f aca="false">Raw_Data!A294</f>
        <v>CFM-2026-0190</v>
      </c>
      <c r="Q285" s="37" t="str">
        <f aca="false">IFERROR(IF(OR($A285="",$P285=""),"MISSING ID",IF(EXACT($A285,$P285),"ALIGNED","MISMATCH")),"CHECK")</f>
        <v>ALIGNED</v>
      </c>
    </row>
    <row r="286" customFormat="false" ht="19.5" hidden="false" customHeight="true" outlineLevel="0" collapsed="false">
      <c r="A286" s="29" t="s">
        <v>409</v>
      </c>
      <c r="B286" s="30" t="n">
        <f aca="false">IF(Raw_Data!B295="","",IF(ISTEXT(Raw_Data!B295),IFERROR(DATE(VALUE(RIGHT(TRIM(Raw_Data!B295),4)),VALUE(MID(TRIM(Raw_Data!B295),4,2)),VALUE(LEFT(TRIM(Raw_Data!B295),2))),"CHECK"),Raw_Data!B295))</f>
        <v>46147</v>
      </c>
      <c r="C286" s="31" t="str">
        <f aca="false">IFERROR(INDEX(Reference_Lists!$C$23:$C$35,MATCH(PROPER(TRIM(Raw_Data!C295)),Reference_Lists!$B$23:$B$35,0)),"UNMATCHED")</f>
        <v>Suggestion Box</v>
      </c>
      <c r="D286" s="31" t="str">
        <f aca="false">IFERROR(INDEX(Reference_Lists!$C$36:$C$50,MATCH(PROPER(TRIM(Raw_Data!D295)),Reference_Lists!$B$36:$B$50,0)),"UNMATCHED")</f>
        <v>Rafah</v>
      </c>
      <c r="E286" s="31" t="str">
        <f aca="false">IF(Raw_Data!E295="","",Raw_Data!E295)</f>
        <v>Food Security</v>
      </c>
      <c r="F286" s="31" t="str">
        <f aca="false">IF(Raw_Data!F295="","",Raw_Data!F295)</f>
        <v>Request for Information</v>
      </c>
      <c r="G286" s="32" t="str">
        <f aca="false">IF(Raw_Data!G295="","",Raw_Data!G295)</f>
        <v>Non-Sensitive</v>
      </c>
      <c r="H286" s="32" t="str">
        <f aca="false">IFERROR(INDEX(Reference_Lists!$C$51:$C$57,MATCH(PROPER(TRIM(Raw_Data!H295)),Reference_Lists!$B$51:$B$57,0)),"UNMATCHED")</f>
        <v>Male</v>
      </c>
      <c r="I286" s="32" t="str">
        <f aca="false">IF(Raw_Data!I295="","",Raw_Data!I295)</f>
        <v>Under 18</v>
      </c>
      <c r="J286" s="32" t="str">
        <f aca="false">IFERROR(INDEX(Reference_Lists!$C$58:$C$65,MATCH(PROPER(TRIM(Raw_Data!J295)),Reference_Lists!$B$58:$B$65,0)),"UNMATCHED")</f>
        <v>In Progress</v>
      </c>
      <c r="K286" s="30" t="str">
        <f aca="false">IF(Raw_Data!K295="","",IF(ISTEXT(Raw_Data!K295),IFERROR(DATE(VALUE(RIGHT(TRIM(Raw_Data!K295),4)),VALUE(MID(TRIM(Raw_Data!K295),4,2)),VALUE(LEFT(TRIM(Raw_Data!K295),2))),"CHECK"),Raw_Data!K295))</f>
        <v/>
      </c>
      <c r="L286" s="33" t="str">
        <f aca="false">IF(Raw_Data!L295="","",Raw_Data!L295)</f>
        <v>Distribution point is far and transport cost is high for our family.</v>
      </c>
      <c r="M286" s="34" t="str">
        <f aca="false">IF(OR(B286="",K286=""),"",IFERROR(K286-B286,"CHECK"))</f>
        <v/>
      </c>
      <c r="N286" s="34" t="n">
        <f aca="false">IFERROR(INDEX(Reference_Lists!$H$13:$H$14,MATCH(G286,Reference_Lists!$G$13:$G$14,0)),"UNMATCHED")</f>
        <v>15</v>
      </c>
      <c r="O286" s="32" t="str">
        <f aca="false">IF(AND(J286="Closed",ISNUMBER(M286),ISNUMBER(N286),M286&gt;=0),M286&lt;=N286,"NOT ASSESSED")</f>
        <v>NOT ASSESSED</v>
      </c>
      <c r="P286" s="36" t="str">
        <f aca="false">Raw_Data!A295</f>
        <v>CFM-2026-0050</v>
      </c>
      <c r="Q286" s="37" t="str">
        <f aca="false">IFERROR(IF(OR($A286="",$P286=""),"MISSING ID",IF(EXACT($A286,$P286),"ALIGNED","MISMATCH")),"CHECK")</f>
        <v>ALIGNED</v>
      </c>
    </row>
    <row r="287" customFormat="false" ht="19.5" hidden="false" customHeight="true" outlineLevel="0" collapsed="false">
      <c r="A287" s="29" t="s">
        <v>410</v>
      </c>
      <c r="B287" s="30" t="n">
        <f aca="false">IF(Raw_Data!B296="","",IF(ISTEXT(Raw_Data!B296),IFERROR(DATE(VALUE(RIGHT(TRIM(Raw_Data!B296),4)),VALUE(MID(TRIM(Raw_Data!B296),4,2)),VALUE(LEFT(TRIM(Raw_Data!B296),2))),"CHECK"),Raw_Data!B296))</f>
        <v>46168</v>
      </c>
      <c r="C287" s="31" t="str">
        <f aca="false">IFERROR(INDEX(Reference_Lists!$C$23:$C$35,MATCH(PROPER(TRIM(Raw_Data!C296)),Reference_Lists!$B$23:$B$35,0)),"UNMATCHED")</f>
        <v>In-Person at Distribution</v>
      </c>
      <c r="D287" s="31" t="str">
        <f aca="false">IFERROR(INDEX(Reference_Lists!$C$36:$C$50,MATCH(PROPER(TRIM(Raw_Data!D296)),Reference_Lists!$B$36:$B$50,0)),"UNMATCHED")</f>
        <v>Nuseirat</v>
      </c>
      <c r="E287" s="31" t="str">
        <f aca="false">IF(Raw_Data!E296="","",Raw_Data!E296)</f>
        <v>Shelter</v>
      </c>
      <c r="F287" s="31" t="str">
        <f aca="false">IF(Raw_Data!F296="","",Raw_Data!F296)</f>
        <v>Suggestion</v>
      </c>
      <c r="G287" s="32" t="str">
        <f aca="false">IF(Raw_Data!G296="","",Raw_Data!G296)</f>
        <v>Non-Sensitive</v>
      </c>
      <c r="H287" s="32" t="str">
        <f aca="false">IFERROR(INDEX(Reference_Lists!$C$51:$C$57,MATCH(PROPER(TRIM(Raw_Data!H296)),Reference_Lists!$B$51:$B$57,0)),"UNMATCHED")</f>
        <v>Female</v>
      </c>
      <c r="I287" s="32" t="str">
        <f aca="false">IF(Raw_Data!I296="","",Raw_Data!I296)</f>
        <v>30-44</v>
      </c>
      <c r="J287" s="32" t="str">
        <f aca="false">IFERROR(INDEX(Reference_Lists!$C$58:$C$65,MATCH(PROPER(TRIM(Raw_Data!J296)),Reference_Lists!$B$58:$B$65,0)),"UNMATCHED")</f>
        <v>Closed</v>
      </c>
      <c r="K287" s="30" t="n">
        <f aca="false">IF(Raw_Data!K296="","",IF(ISTEXT(Raw_Data!K296),IFERROR(DATE(VALUE(RIGHT(TRIM(Raw_Data!K296),4)),VALUE(MID(TRIM(Raw_Data!K296),4,2)),VALUE(LEFT(TRIM(Raw_Data!K296),2))),"CHECK"),Raw_Data!K296))</f>
        <v>46185</v>
      </c>
      <c r="L287" s="33" t="str">
        <f aca="false">IF(Raw_Data!L296="","",Raw_Data!L296)</f>
        <v>Requesting information about the criteria for shelter repair kits.</v>
      </c>
      <c r="M287" s="34" t="n">
        <f aca="false">IF(OR(B287="",K287=""),"",IFERROR(K287-B287,"CHECK"))</f>
        <v>17</v>
      </c>
      <c r="N287" s="34" t="n">
        <f aca="false">IFERROR(INDEX(Reference_Lists!$H$13:$H$14,MATCH(G287,Reference_Lists!$G$13:$G$14,0)),"UNMATCHED")</f>
        <v>15</v>
      </c>
      <c r="O287" s="35" t="b">
        <f aca="false">IF(AND(J287="Closed",ISNUMBER(M287),ISNUMBER(N287),M287&gt;=0),M287&lt;=N287,"NOT ASSESSED")</f>
        <v>0</v>
      </c>
      <c r="P287" s="36" t="str">
        <f aca="false">Raw_Data!A296</f>
        <v>CFM-2026-0052</v>
      </c>
      <c r="Q287" s="37" t="str">
        <f aca="false">IFERROR(IF(OR($A287="",$P287=""),"MISSING ID",IF(EXACT($A287,$P287),"ALIGNED","MISMATCH")),"CHECK")</f>
        <v>ALIGNED</v>
      </c>
    </row>
    <row r="288" customFormat="false" ht="19.5" hidden="false" customHeight="true" outlineLevel="0" collapsed="false">
      <c r="A288" s="29" t="s">
        <v>411</v>
      </c>
      <c r="B288" s="30" t="n">
        <f aca="false">IF(Raw_Data!B297="","",IF(ISTEXT(Raw_Data!B297),IFERROR(DATE(VALUE(RIGHT(TRIM(Raw_Data!B297),4)),VALUE(MID(TRIM(Raw_Data!B297),4,2)),VALUE(LEFT(TRIM(Raw_Data!B297),2))),"CHECK"),Raw_Data!B297))</f>
        <v>46227</v>
      </c>
      <c r="C288" s="31" t="str">
        <f aca="false">IFERROR(INDEX(Reference_Lists!$C$23:$C$35,MATCH(PROPER(TRIM(Raw_Data!C297)),Reference_Lists!$B$23:$B$35,0)),"UNMATCHED")</f>
        <v>Suggestion Box</v>
      </c>
      <c r="D288" s="31" t="str">
        <f aca="false">IFERROR(INDEX(Reference_Lists!$C$36:$C$50,MATCH(PROPER(TRIM(Raw_Data!D297)),Reference_Lists!$B$36:$B$50,0)),"UNMATCHED")</f>
        <v>Gaza City</v>
      </c>
      <c r="E288" s="31" t="str">
        <f aca="false">IF(Raw_Data!E297="","",Raw_Data!E297)</f>
        <v>Food Security</v>
      </c>
      <c r="F288" s="31" t="str">
        <f aca="false">IF(Raw_Data!F297="","",Raw_Data!F297)</f>
        <v>Complaint</v>
      </c>
      <c r="G288" s="32" t="str">
        <f aca="false">IF(Raw_Data!G297="","",Raw_Data!G297)</f>
        <v>Non-Sensitive</v>
      </c>
      <c r="H288" s="32" t="str">
        <f aca="false">IFERROR(INDEX(Reference_Lists!$C$51:$C$57,MATCH(PROPER(TRIM(Raw_Data!H297)),Reference_Lists!$B$51:$B$57,0)),"UNMATCHED")</f>
        <v>Female</v>
      </c>
      <c r="I288" s="32" t="str">
        <f aca="false">IF(Raw_Data!I297="","",Raw_Data!I297)</f>
        <v>45-59</v>
      </c>
      <c r="J288" s="32" t="str">
        <f aca="false">IFERROR(INDEX(Reference_Lists!$C$58:$C$65,MATCH(PROPER(TRIM(Raw_Data!J297)),Reference_Lists!$B$58:$B$65,0)),"UNMATCHED")</f>
        <v>Closed</v>
      </c>
      <c r="K288" s="30" t="n">
        <f aca="false">IF(Raw_Data!K297="","",IF(ISTEXT(Raw_Data!K297),IFERROR(DATE(VALUE(RIGHT(TRIM(Raw_Data!K297),4)),VALUE(MID(TRIM(Raw_Data!K297),4,2)),VALUE(LEFT(TRIM(Raw_Data!K297),2))),"CHECK"),Raw_Data!K297))</f>
        <v>46231</v>
      </c>
      <c r="L288" s="33" t="str">
        <f aca="false">IF(Raw_Data!L297="","",Raw_Data!L297)</f>
        <v>Thanking the team for organising the last distribution well.</v>
      </c>
      <c r="M288" s="34" t="n">
        <f aca="false">IF(OR(B288="",K288=""),"",IFERROR(K288-B288,"CHECK"))</f>
        <v>4</v>
      </c>
      <c r="N288" s="34" t="n">
        <f aca="false">IFERROR(INDEX(Reference_Lists!$H$13:$H$14,MATCH(G288,Reference_Lists!$G$13:$G$14,0)),"UNMATCHED")</f>
        <v>15</v>
      </c>
      <c r="O288" s="35" t="b">
        <f aca="false">IF(AND(J288="Closed",ISNUMBER(M288),ISNUMBER(N288),M288&gt;=0),M288&lt;=N288,"NOT ASSESSED")</f>
        <v>1</v>
      </c>
      <c r="P288" s="36" t="str">
        <f aca="false">Raw_Data!A297</f>
        <v>CFM-2026-0243</v>
      </c>
      <c r="Q288" s="37" t="str">
        <f aca="false">IFERROR(IF(OR($A288="",$P288=""),"MISSING ID",IF(EXACT($A288,$P288),"ALIGNED","MISMATCH")),"CHECK")</f>
        <v>ALIGNED</v>
      </c>
    </row>
    <row r="289" customFormat="false" ht="19.5" hidden="false" customHeight="true" outlineLevel="0" collapsed="false">
      <c r="A289" s="29" t="s">
        <v>412</v>
      </c>
      <c r="B289" s="30" t="n">
        <f aca="false">IF(Raw_Data!B298="","",IF(ISTEXT(Raw_Data!B298),IFERROR(DATE(VALUE(RIGHT(TRIM(Raw_Data!B298),4)),VALUE(MID(TRIM(Raw_Data!B298),4,2)),VALUE(LEFT(TRIM(Raw_Data!B298),2))),"CHECK"),Raw_Data!B298))</f>
        <v>46129</v>
      </c>
      <c r="C289" s="31" t="str">
        <f aca="false">IFERROR(INDEX(Reference_Lists!$C$23:$C$35,MATCH(PROPER(TRIM(Raw_Data!C298)),Reference_Lists!$B$23:$B$35,0)),"UNMATCHED")</f>
        <v>In-Person at Distribution</v>
      </c>
      <c r="D289" s="31" t="str">
        <f aca="false">IFERROR(INDEX(Reference_Lists!$C$36:$C$50,MATCH(PROPER(TRIM(Raw_Data!D298)),Reference_Lists!$B$36:$B$50,0)),"UNMATCHED")</f>
        <v>Rafah</v>
      </c>
      <c r="E289" s="31" t="str">
        <f aca="false">IF(Raw_Data!E298="","",Raw_Data!E298)</f>
        <v>WASH</v>
      </c>
      <c r="F289" s="31" t="str">
        <f aca="false">IF(Raw_Data!F298="","",Raw_Data!F298)</f>
        <v>Request for Information</v>
      </c>
      <c r="G289" s="32" t="str">
        <f aca="false">IF(Raw_Data!G298="","",Raw_Data!G298)</f>
        <v>Non-Sensitive</v>
      </c>
      <c r="H289" s="32" t="str">
        <f aca="false">IFERROR(INDEX(Reference_Lists!$C$51:$C$57,MATCH(PROPER(TRIM(Raw_Data!H298)),Reference_Lists!$B$51:$B$57,0)),"UNMATCHED")</f>
        <v>Male</v>
      </c>
      <c r="I289" s="32" t="str">
        <f aca="false">IF(Raw_Data!I298="","",Raw_Data!I298)</f>
        <v>18-29</v>
      </c>
      <c r="J289" s="32" t="str">
        <f aca="false">IFERROR(INDEX(Reference_Lists!$C$58:$C$65,MATCH(PROPER(TRIM(Raw_Data!J298)),Reference_Lists!$B$58:$B$65,0)),"UNMATCHED")</f>
        <v>Open</v>
      </c>
      <c r="K289" s="30" t="str">
        <f aca="false">IF(Raw_Data!K298="","",IF(ISTEXT(Raw_Data!K298),IFERROR(DATE(VALUE(RIGHT(TRIM(Raw_Data!K298),4)),VALUE(MID(TRIM(Raw_Data!K298),4,2)),VALUE(LEFT(TRIM(Raw_Data!K298),2))),"CHECK"),Raw_Data!K298))</f>
        <v/>
      </c>
      <c r="L289" s="33" t="str">
        <f aca="false">IF(Raw_Data!L298="","",Raw_Data!L298)</f>
        <v>Requesting additional jerrycans for a shared shelter of four families.</v>
      </c>
      <c r="M289" s="34" t="str">
        <f aca="false">IF(OR(B289="",K289=""),"",IFERROR(K289-B289,"CHECK"))</f>
        <v/>
      </c>
      <c r="N289" s="34" t="n">
        <f aca="false">IFERROR(INDEX(Reference_Lists!$H$13:$H$14,MATCH(G289,Reference_Lists!$G$13:$G$14,0)),"UNMATCHED")</f>
        <v>15</v>
      </c>
      <c r="O289" s="32" t="str">
        <f aca="false">IF(AND(J289="Closed",ISNUMBER(M289),ISNUMBER(N289),M289&gt;=0),M289&lt;=N289,"NOT ASSESSED")</f>
        <v>NOT ASSESSED</v>
      </c>
      <c r="P289" s="36" t="str">
        <f aca="false">Raw_Data!A298</f>
        <v>CFM-2026-0413</v>
      </c>
      <c r="Q289" s="37" t="str">
        <f aca="false">IFERROR(IF(OR($A289="",$P289=""),"MISSING ID",IF(EXACT($A289,$P289),"ALIGNED","MISMATCH")),"CHECK")</f>
        <v>ALIGNED</v>
      </c>
    </row>
    <row r="290" customFormat="false" ht="19.5" hidden="false" customHeight="true" outlineLevel="0" collapsed="false">
      <c r="A290" s="29" t="s">
        <v>413</v>
      </c>
      <c r="B290" s="30" t="n">
        <f aca="false">IF(Raw_Data!B299="","",IF(ISTEXT(Raw_Data!B299),IFERROR(DATE(VALUE(RIGHT(TRIM(Raw_Data!B299),4)),VALUE(MID(TRIM(Raw_Data!B299),4,2)),VALUE(LEFT(TRIM(Raw_Data!B299),2))),"CHECK"),Raw_Data!B299))</f>
        <v>46097</v>
      </c>
      <c r="C290" s="31" t="str">
        <f aca="false">IFERROR(INDEX(Reference_Lists!$C$23:$C$35,MATCH(PROPER(TRIM(Raw_Data!C299)),Reference_Lists!$B$23:$B$35,0)),"UNMATCHED")</f>
        <v>Community Focal Point</v>
      </c>
      <c r="D290" s="31" t="str">
        <f aca="false">IFERROR(INDEX(Reference_Lists!$C$36:$C$50,MATCH(PROPER(TRIM(Raw_Data!D299)),Reference_Lists!$B$36:$B$50,0)),"UNMATCHED")</f>
        <v>Deir al-Balah</v>
      </c>
      <c r="E290" s="31" t="str">
        <f aca="false">IF(Raw_Data!E299="","",Raw_Data!E299)</f>
        <v>Nutrition</v>
      </c>
      <c r="F290" s="31" t="str">
        <f aca="false">IF(Raw_Data!F299="","",Raw_Data!F299)</f>
        <v>Complaint</v>
      </c>
      <c r="G290" s="32" t="str">
        <f aca="false">IF(Raw_Data!G299="","",Raw_Data!G299)</f>
        <v>Non-Sensitive</v>
      </c>
      <c r="H290" s="32" t="str">
        <f aca="false">IFERROR(INDEX(Reference_Lists!$C$51:$C$57,MATCH(PROPER(TRIM(Raw_Data!H299)),Reference_Lists!$B$51:$B$57,0)),"UNMATCHED")</f>
        <v>Female</v>
      </c>
      <c r="I290" s="32" t="str">
        <f aca="false">IF(Raw_Data!I299="","",Raw_Data!I299)</f>
        <v>45-59</v>
      </c>
      <c r="J290" s="32" t="str">
        <f aca="false">IFERROR(INDEX(Reference_Lists!$C$58:$C$65,MATCH(PROPER(TRIM(Raw_Data!J299)),Reference_Lists!$B$58:$B$65,0)),"UNMATCHED")</f>
        <v>Referred</v>
      </c>
      <c r="K290" s="30" t="str">
        <f aca="false">IF(Raw_Data!K299="","",IF(ISTEXT(Raw_Data!K299),IFERROR(DATE(VALUE(RIGHT(TRIM(Raw_Data!K299),4)),VALUE(MID(TRIM(Raw_Data!K299),4,2)),VALUE(LEFT(TRIM(Raw_Data!K299),2))),"CHECK"),Raw_Data!K299))</f>
        <v/>
      </c>
      <c r="L290" s="33" t="str">
        <f aca="false">IF(Raw_Data!L299="","",Raw_Data!L299)</f>
        <v>Supplement was received but the guidance sheet was in English only.</v>
      </c>
      <c r="M290" s="34" t="str">
        <f aca="false">IF(OR(B290="",K290=""),"",IFERROR(K290-B290,"CHECK"))</f>
        <v/>
      </c>
      <c r="N290" s="34" t="n">
        <f aca="false">IFERROR(INDEX(Reference_Lists!$H$13:$H$14,MATCH(G290,Reference_Lists!$G$13:$G$14,0)),"UNMATCHED")</f>
        <v>15</v>
      </c>
      <c r="O290" s="32" t="str">
        <f aca="false">IF(AND(J290="Closed",ISNUMBER(M290),ISNUMBER(N290),M290&gt;=0),M290&lt;=N290,"NOT ASSESSED")</f>
        <v>NOT ASSESSED</v>
      </c>
      <c r="P290" s="36" t="str">
        <f aca="false">Raw_Data!A299</f>
        <v>CFM-2026-0421</v>
      </c>
      <c r="Q290" s="37" t="str">
        <f aca="false">IFERROR(IF(OR($A290="",$P290=""),"MISSING ID",IF(EXACT($A290,$P290),"ALIGNED","MISMATCH")),"CHECK")</f>
        <v>ALIGNED</v>
      </c>
    </row>
    <row r="291" customFormat="false" ht="19.5" hidden="false" customHeight="true" outlineLevel="0" collapsed="false">
      <c r="A291" s="29" t="s">
        <v>414</v>
      </c>
      <c r="B291" s="30" t="n">
        <f aca="false">IF(Raw_Data!B300="","",IF(ISTEXT(Raw_Data!B300),IFERROR(DATE(VALUE(RIGHT(TRIM(Raw_Data!B300),4)),VALUE(MID(TRIM(Raw_Data!B300),4,2)),VALUE(LEFT(TRIM(Raw_Data!B300),2))),"CHECK"),Raw_Data!B300))</f>
        <v>46041</v>
      </c>
      <c r="C291" s="31" t="str">
        <f aca="false">IFERROR(INDEX(Reference_Lists!$C$23:$C$35,MATCH(PROPER(TRIM(Raw_Data!C300)),Reference_Lists!$B$23:$B$35,0)),"UNMATCHED")</f>
        <v>Help Desk</v>
      </c>
      <c r="D291" s="31" t="str">
        <f aca="false">IFERROR(INDEX(Reference_Lists!$C$36:$C$50,MATCH(PROPER(TRIM(Raw_Data!D300)),Reference_Lists!$B$36:$B$50,0)),"UNMATCHED")</f>
        <v>Rafah</v>
      </c>
      <c r="E291" s="31" t="str">
        <f aca="false">IF(Raw_Data!E300="","",Raw_Data!E300)</f>
        <v>Nutrition</v>
      </c>
      <c r="F291" s="31" t="str">
        <f aca="false">IF(Raw_Data!F300="","",Raw_Data!F300)</f>
        <v>Suggestion</v>
      </c>
      <c r="G291" s="32" t="str">
        <f aca="false">IF(Raw_Data!G300="","",Raw_Data!G300)</f>
        <v>Non-Sensitive</v>
      </c>
      <c r="H291" s="32" t="str">
        <f aca="false">IFERROR(INDEX(Reference_Lists!$C$51:$C$57,MATCH(PROPER(TRIM(Raw_Data!H300)),Reference_Lists!$B$51:$B$57,0)),"UNMATCHED")</f>
        <v>Male</v>
      </c>
      <c r="I291" s="32" t="str">
        <f aca="false">IF(Raw_Data!I300="","",Raw_Data!I300)</f>
        <v>18-29</v>
      </c>
      <c r="J291" s="32" t="str">
        <f aca="false">IFERROR(INDEX(Reference_Lists!$C$58:$C$65,MATCH(PROPER(TRIM(Raw_Data!J300)),Reference_Lists!$B$58:$B$65,0)),"UNMATCHED")</f>
        <v>In Progress</v>
      </c>
      <c r="K291" s="30" t="str">
        <f aca="false">IF(Raw_Data!K300="","",IF(ISTEXT(Raw_Data!K300),IFERROR(DATE(VALUE(RIGHT(TRIM(Raw_Data!K300),4)),VALUE(MID(TRIM(Raw_Data!K300),4,2)),VALUE(LEFT(TRIM(Raw_Data!K300),2))),"CHECK"),Raw_Data!K300))</f>
        <v/>
      </c>
      <c r="L291" s="33" t="str">
        <f aca="false">IF(Raw_Data!L300="","",Raw_Data!L300)</f>
        <v>Asking whether children above five are included in the screening.</v>
      </c>
      <c r="M291" s="34" t="str">
        <f aca="false">IF(OR(B291="",K291=""),"",IFERROR(K291-B291,"CHECK"))</f>
        <v/>
      </c>
      <c r="N291" s="34" t="n">
        <f aca="false">IFERROR(INDEX(Reference_Lists!$H$13:$H$14,MATCH(G291,Reference_Lists!$G$13:$G$14,0)),"UNMATCHED")</f>
        <v>15</v>
      </c>
      <c r="O291" s="32" t="str">
        <f aca="false">IF(AND(J291="Closed",ISNUMBER(M291),ISNUMBER(N291),M291&gt;=0),M291&lt;=N291,"NOT ASSESSED")</f>
        <v>NOT ASSESSED</v>
      </c>
      <c r="P291" s="36" t="str">
        <f aca="false">Raw_Data!A300</f>
        <v>CFM-2026-0416</v>
      </c>
      <c r="Q291" s="37" t="str">
        <f aca="false">IFERROR(IF(OR($A291="",$P291=""),"MISSING ID",IF(EXACT($A291,$P291),"ALIGNED","MISMATCH")),"CHECK")</f>
        <v>ALIGNED</v>
      </c>
    </row>
    <row r="292" customFormat="false" ht="19.5" hidden="false" customHeight="true" outlineLevel="0" collapsed="false">
      <c r="A292" s="29" t="s">
        <v>415</v>
      </c>
      <c r="B292" s="30" t="n">
        <f aca="false">IF(Raw_Data!B301="","",IF(ISTEXT(Raw_Data!B301),IFERROR(DATE(VALUE(RIGHT(TRIM(Raw_Data!B301),4)),VALUE(MID(TRIM(Raw_Data!B301),4,2)),VALUE(LEFT(TRIM(Raw_Data!B301),2))),"CHECK"),Raw_Data!B301))</f>
        <v>46123</v>
      </c>
      <c r="C292" s="31" t="str">
        <f aca="false">IFERROR(INDEX(Reference_Lists!$C$23:$C$35,MATCH(PROPER(TRIM(Raw_Data!C301)),Reference_Lists!$B$23:$B$35,0)),"UNMATCHED")</f>
        <v>Phone Hotline</v>
      </c>
      <c r="D292" s="31" t="str">
        <f aca="false">IFERROR(INDEX(Reference_Lists!$C$36:$C$50,MATCH(PROPER(TRIM(Raw_Data!D301)),Reference_Lists!$B$36:$B$50,0)),"UNMATCHED")</f>
        <v>Jabalia</v>
      </c>
      <c r="E292" s="31" t="str">
        <f aca="false">IF(Raw_Data!E301="","",Raw_Data!E301)</f>
        <v>WASH</v>
      </c>
      <c r="F292" s="31" t="str">
        <f aca="false">IF(Raw_Data!F301="","",Raw_Data!F301)</f>
        <v>Complaint</v>
      </c>
      <c r="G292" s="32" t="str">
        <f aca="false">IF(Raw_Data!G301="","",Raw_Data!G301)</f>
        <v>Non-Sensitive</v>
      </c>
      <c r="H292" s="32" t="str">
        <f aca="false">IFERROR(INDEX(Reference_Lists!$C$51:$C$57,MATCH(PROPER(TRIM(Raw_Data!H301)),Reference_Lists!$B$51:$B$57,0)),"UNMATCHED")</f>
        <v>Female</v>
      </c>
      <c r="I292" s="32" t="str">
        <f aca="false">IF(Raw_Data!I301="","",Raw_Data!I301)</f>
        <v>30-44</v>
      </c>
      <c r="J292" s="32" t="str">
        <f aca="false">IFERROR(INDEX(Reference_Lists!$C$58:$C$65,MATCH(PROPER(TRIM(Raw_Data!J301)),Reference_Lists!$B$58:$B$65,0)),"UNMATCHED")</f>
        <v>In Progress</v>
      </c>
      <c r="K292" s="30" t="str">
        <f aca="false">IF(Raw_Data!K301="","",IF(ISTEXT(Raw_Data!K301),IFERROR(DATE(VALUE(RIGHT(TRIM(Raw_Data!K301),4)),VALUE(MID(TRIM(Raw_Data!K301),4,2)),VALUE(LEFT(TRIM(Raw_Data!K301),2))),"CHECK"),Raw_Data!K301))</f>
        <v/>
      </c>
      <c r="L292" s="33" t="str">
        <f aca="false">IF(Raw_Data!L301="","",Raw_Data!L301)</f>
        <v>Water truck did not arrive at the agreed time for three consecutive days.</v>
      </c>
      <c r="M292" s="34" t="str">
        <f aca="false">IF(OR(B292="",K292=""),"",IFERROR(K292-B292,"CHECK"))</f>
        <v/>
      </c>
      <c r="N292" s="34" t="n">
        <f aca="false">IFERROR(INDEX(Reference_Lists!$H$13:$H$14,MATCH(G292,Reference_Lists!$G$13:$G$14,0)),"UNMATCHED")</f>
        <v>15</v>
      </c>
      <c r="O292" s="32" t="str">
        <f aca="false">IF(AND(J292="Closed",ISNUMBER(M292),ISNUMBER(N292),M292&gt;=0),M292&lt;=N292,"NOT ASSESSED")</f>
        <v>NOT ASSESSED</v>
      </c>
      <c r="P292" s="36" t="str">
        <f aca="false">Raw_Data!A301</f>
        <v>CFM-2026-0394</v>
      </c>
      <c r="Q292" s="37" t="str">
        <f aca="false">IFERROR(IF(OR($A292="",$P292=""),"MISSING ID",IF(EXACT($A292,$P292),"ALIGNED","MISMATCH")),"CHECK")</f>
        <v>ALIGNED</v>
      </c>
    </row>
    <row r="293" customFormat="false" ht="19.5" hidden="false" customHeight="true" outlineLevel="0" collapsed="false">
      <c r="A293" s="29" t="s">
        <v>416</v>
      </c>
      <c r="B293" s="30" t="n">
        <f aca="false">IF(Raw_Data!B302="","",IF(ISTEXT(Raw_Data!B302),IFERROR(DATE(VALUE(RIGHT(TRIM(Raw_Data!B302),4)),VALUE(MID(TRIM(Raw_Data!B302),4,2)),VALUE(LEFT(TRIM(Raw_Data!B302),2))),"CHECK"),Raw_Data!B302))</f>
        <v>46215</v>
      </c>
      <c r="C293" s="31" t="str">
        <f aca="false">IFERROR(INDEX(Reference_Lists!$C$23:$C$35,MATCH(PROPER(TRIM(Raw_Data!C302)),Reference_Lists!$B$23:$B$35,0)),"UNMATCHED")</f>
        <v>Phone Hotline</v>
      </c>
      <c r="D293" s="31" t="str">
        <f aca="false">IFERROR(INDEX(Reference_Lists!$C$36:$C$50,MATCH(PROPER(TRIM(Raw_Data!D302)),Reference_Lists!$B$36:$B$50,0)),"UNMATCHED")</f>
        <v>Rafah</v>
      </c>
      <c r="E293" s="31" t="str">
        <f aca="false">IF(Raw_Data!E302="","",Raw_Data!E302)</f>
        <v>Food Security</v>
      </c>
      <c r="F293" s="31" t="str">
        <f aca="false">IF(Raw_Data!F302="","",Raw_Data!F302)</f>
        <v>Request for Information</v>
      </c>
      <c r="G293" s="32" t="str">
        <f aca="false">IF(Raw_Data!G302="","",Raw_Data!G302)</f>
        <v>Non-Sensitive</v>
      </c>
      <c r="H293" s="32" t="str">
        <f aca="false">IFERROR(INDEX(Reference_Lists!$C$51:$C$57,MATCH(PROPER(TRIM(Raw_Data!H302)),Reference_Lists!$B$51:$B$57,0)),"UNMATCHED")</f>
        <v>Female</v>
      </c>
      <c r="I293" s="32" t="str">
        <f aca="false">IF(Raw_Data!I302="","",Raw_Data!I302)</f>
        <v>45-59</v>
      </c>
      <c r="J293" s="32" t="str">
        <f aca="false">IFERROR(INDEX(Reference_Lists!$C$58:$C$65,MATCH(PROPER(TRIM(Raw_Data!J302)),Reference_Lists!$B$58:$B$65,0)),"UNMATCHED")</f>
        <v>Closed</v>
      </c>
      <c r="K293" s="30" t="n">
        <f aca="false">IF(Raw_Data!K302="","",IF(ISTEXT(Raw_Data!K302),IFERROR(DATE(VALUE(RIGHT(TRIM(Raw_Data!K302),4)),VALUE(MID(TRIM(Raw_Data!K302),4,2)),VALUE(LEFT(TRIM(Raw_Data!K302),2))),"CHECK"),Raw_Data!K302))</f>
        <v>46226</v>
      </c>
      <c r="L293" s="33" t="str">
        <f aca="false">IF(Raw_Data!L302="","",Raw_Data!L302)</f>
        <v>Food parcel contents did not match the announced list.</v>
      </c>
      <c r="M293" s="34" t="n">
        <f aca="false">IF(OR(B293="",K293=""),"",IFERROR(K293-B293,"CHECK"))</f>
        <v>11</v>
      </c>
      <c r="N293" s="34" t="n">
        <f aca="false">IFERROR(INDEX(Reference_Lists!$H$13:$H$14,MATCH(G293,Reference_Lists!$G$13:$G$14,0)),"UNMATCHED")</f>
        <v>15</v>
      </c>
      <c r="O293" s="35" t="b">
        <f aca="false">IF(AND(J293="Closed",ISNUMBER(M293),ISNUMBER(N293),M293&gt;=0),M293&lt;=N293,"NOT ASSESSED")</f>
        <v>1</v>
      </c>
      <c r="P293" s="36" t="str">
        <f aca="false">Raw_Data!A302</f>
        <v>CFM-2026-0303</v>
      </c>
      <c r="Q293" s="37" t="str">
        <f aca="false">IFERROR(IF(OR($A293="",$P293=""),"MISSING ID",IF(EXACT($A293,$P293),"ALIGNED","MISMATCH")),"CHECK")</f>
        <v>ALIGNED</v>
      </c>
    </row>
    <row r="294" customFormat="false" ht="19.5" hidden="false" customHeight="true" outlineLevel="0" collapsed="false">
      <c r="A294" s="29" t="s">
        <v>417</v>
      </c>
      <c r="B294" s="30" t="n">
        <f aca="false">IF(Raw_Data!B303="","",IF(ISTEXT(Raw_Data!B303),IFERROR(DATE(VALUE(RIGHT(TRIM(Raw_Data!B303),4)),VALUE(MID(TRIM(Raw_Data!B303),4,2)),VALUE(LEFT(TRIM(Raw_Data!B303),2))),"CHECK"),Raw_Data!B303))</f>
        <v>46109</v>
      </c>
      <c r="C294" s="31" t="str">
        <f aca="false">IFERROR(INDEX(Reference_Lists!$C$23:$C$35,MATCH(PROPER(TRIM(Raw_Data!C303)),Reference_Lists!$B$23:$B$35,0)),"UNMATCHED")</f>
        <v>Suggestion Box</v>
      </c>
      <c r="D294" s="31" t="str">
        <f aca="false">IFERROR(INDEX(Reference_Lists!$C$36:$C$50,MATCH(PROPER(TRIM(Raw_Data!D303)),Reference_Lists!$B$36:$B$50,0)),"UNMATCHED")</f>
        <v>Rafah</v>
      </c>
      <c r="E294" s="31" t="str">
        <f aca="false">IF(Raw_Data!E303="","",Raw_Data!E303)</f>
        <v>WASH</v>
      </c>
      <c r="F294" s="31" t="str">
        <f aca="false">IF(Raw_Data!F303="","",Raw_Data!F303)</f>
        <v>Request for Information</v>
      </c>
      <c r="G294" s="32" t="str">
        <f aca="false">IF(Raw_Data!G303="","",Raw_Data!G303)</f>
        <v>Non-Sensitive</v>
      </c>
      <c r="H294" s="32" t="str">
        <f aca="false">IFERROR(INDEX(Reference_Lists!$C$51:$C$57,MATCH(PROPER(TRIM(Raw_Data!H303)),Reference_Lists!$B$51:$B$57,0)),"UNMATCHED")</f>
        <v>Female</v>
      </c>
      <c r="I294" s="32" t="str">
        <f aca="false">IF(Raw_Data!I303="","",Raw_Data!I303)</f>
        <v>45-59</v>
      </c>
      <c r="J294" s="32" t="str">
        <f aca="false">IFERROR(INDEX(Reference_Lists!$C$58:$C$65,MATCH(PROPER(TRIM(Raw_Data!J303)),Reference_Lists!$B$58:$B$65,0)),"UNMATCHED")</f>
        <v>Closed</v>
      </c>
      <c r="K294" s="30" t="n">
        <f aca="false">IF(Raw_Data!K303="","",IF(ISTEXT(Raw_Data!K303),IFERROR(DATE(VALUE(RIGHT(TRIM(Raw_Data!K303),4)),VALUE(MID(TRIM(Raw_Data!K303),4,2)),VALUE(LEFT(TRIM(Raw_Data!K303),2))),"CHECK"),Raw_Data!K303))</f>
        <v>46123</v>
      </c>
      <c r="L294" s="33" t="str">
        <f aca="false">IF(Raw_Data!L303="","",Raw_Data!L303)</f>
        <v>Requesting additional jerrycans for a shared shelter of four families.</v>
      </c>
      <c r="M294" s="34" t="n">
        <f aca="false">IF(OR(B294="",K294=""),"",IFERROR(K294-B294,"CHECK"))</f>
        <v>14</v>
      </c>
      <c r="N294" s="34" t="n">
        <f aca="false">IFERROR(INDEX(Reference_Lists!$H$13:$H$14,MATCH(G294,Reference_Lists!$G$13:$G$14,0)),"UNMATCHED")</f>
        <v>15</v>
      </c>
      <c r="O294" s="35" t="b">
        <f aca="false">IF(AND(J294="Closed",ISNUMBER(M294),ISNUMBER(N294),M294&gt;=0),M294&lt;=N294,"NOT ASSESSED")</f>
        <v>1</v>
      </c>
      <c r="P294" s="36" t="str">
        <f aca="false">Raw_Data!A303</f>
        <v>CFM-2026-0489</v>
      </c>
      <c r="Q294" s="37" t="str">
        <f aca="false">IFERROR(IF(OR($A294="",$P294=""),"MISSING ID",IF(EXACT($A294,$P294),"ALIGNED","MISMATCH")),"CHECK")</f>
        <v>ALIGNED</v>
      </c>
    </row>
    <row r="295" customFormat="false" ht="19.5" hidden="false" customHeight="true" outlineLevel="0" collapsed="false">
      <c r="A295" s="29" t="s">
        <v>419</v>
      </c>
      <c r="B295" s="30" t="n">
        <f aca="false">IF(Raw_Data!B304="","",IF(ISTEXT(Raw_Data!B304),IFERROR(DATE(VALUE(RIGHT(TRIM(Raw_Data!B304),4)),VALUE(MID(TRIM(Raw_Data!B304),4,2)),VALUE(LEFT(TRIM(Raw_Data!B304),2))),"CHECK"),Raw_Data!B304))</f>
        <v>46198</v>
      </c>
      <c r="C295" s="31" t="str">
        <f aca="false">IFERROR(INDEX(Reference_Lists!$C$23:$C$35,MATCH(PROPER(TRIM(Raw_Data!C304)),Reference_Lists!$B$23:$B$35,0)),"UNMATCHED")</f>
        <v>Phone Hotline</v>
      </c>
      <c r="D295" s="31" t="str">
        <f aca="false">IFERROR(INDEX(Reference_Lists!$C$36:$C$50,MATCH(PROPER(TRIM(Raw_Data!D304)),Reference_Lists!$B$36:$B$50,0)),"UNMATCHED")</f>
        <v>Nuseirat</v>
      </c>
      <c r="E295" s="31" t="str">
        <f aca="false">IF(Raw_Data!E304="","",Raw_Data!E304)</f>
        <v>Nutrition</v>
      </c>
      <c r="F295" s="31" t="str">
        <f aca="false">IF(Raw_Data!F304="","",Raw_Data!F304)</f>
        <v>Complaint</v>
      </c>
      <c r="G295" s="32" t="str">
        <f aca="false">IF(Raw_Data!G304="","",Raw_Data!G304)</f>
        <v>Non-Sensitive</v>
      </c>
      <c r="H295" s="32" t="str">
        <f aca="false">IFERROR(INDEX(Reference_Lists!$C$51:$C$57,MATCH(PROPER(TRIM(Raw_Data!H304)),Reference_Lists!$B$51:$B$57,0)),"UNMATCHED")</f>
        <v>Female</v>
      </c>
      <c r="I295" s="32" t="str">
        <f aca="false">IF(Raw_Data!I304="","",Raw_Data!I304)</f>
        <v>18-29</v>
      </c>
      <c r="J295" s="32" t="str">
        <f aca="false">IFERROR(INDEX(Reference_Lists!$C$58:$C$65,MATCH(PROPER(TRIM(Raw_Data!J304)),Reference_Lists!$B$58:$B$65,0)),"UNMATCHED")</f>
        <v>In Progress</v>
      </c>
      <c r="K295" s="30" t="str">
        <f aca="false">IF(Raw_Data!K304="","",IF(ISTEXT(Raw_Data!K304),IFERROR(DATE(VALUE(RIGHT(TRIM(Raw_Data!K304),4)),VALUE(MID(TRIM(Raw_Data!K304),4,2)),VALUE(LEFT(TRIM(Raw_Data!K304),2))),"CHECK"),Raw_Data!K304))</f>
        <v/>
      </c>
      <c r="L295" s="33" t="str">
        <f aca="false">IF(Raw_Data!L304="","",Raw_Data!L304)</f>
        <v>Requesting a screening session closer to the northern shelter.</v>
      </c>
      <c r="M295" s="34" t="str">
        <f aca="false">IF(OR(B295="",K295=""),"",IFERROR(K295-B295,"CHECK"))</f>
        <v/>
      </c>
      <c r="N295" s="34" t="n">
        <f aca="false">IFERROR(INDEX(Reference_Lists!$H$13:$H$14,MATCH(G295,Reference_Lists!$G$13:$G$14,0)),"UNMATCHED")</f>
        <v>15</v>
      </c>
      <c r="O295" s="32" t="str">
        <f aca="false">IF(AND(J295="Closed",ISNUMBER(M295),ISNUMBER(N295),M295&gt;=0),M295&lt;=N295,"NOT ASSESSED")</f>
        <v>NOT ASSESSED</v>
      </c>
      <c r="P295" s="36" t="str">
        <f aca="false">Raw_Data!A304</f>
        <v>CFM-2026-0458</v>
      </c>
      <c r="Q295" s="37" t="str">
        <f aca="false">IFERROR(IF(OR($A295="",$P295=""),"MISSING ID",IF(EXACT($A295,$P295),"ALIGNED","MISMATCH")),"CHECK")</f>
        <v>ALIGNED</v>
      </c>
    </row>
    <row r="296" customFormat="false" ht="19.5" hidden="false" customHeight="true" outlineLevel="0" collapsed="false">
      <c r="A296" s="29" t="s">
        <v>420</v>
      </c>
      <c r="B296" s="30" t="n">
        <f aca="false">IF(Raw_Data!B305="","",IF(ISTEXT(Raw_Data!B305),IFERROR(DATE(VALUE(RIGHT(TRIM(Raw_Data!B305),4)),VALUE(MID(TRIM(Raw_Data!B305),4,2)),VALUE(LEFT(TRIM(Raw_Data!B305),2))),"CHECK"),Raw_Data!B305))</f>
        <v>46055</v>
      </c>
      <c r="C296" s="31" t="str">
        <f aca="false">IFERROR(INDEX(Reference_Lists!$C$23:$C$35,MATCH(PROPER(TRIM(Raw_Data!C305)),Reference_Lists!$B$23:$B$35,0)),"UNMATCHED")</f>
        <v>Phone Hotline</v>
      </c>
      <c r="D296" s="31" t="str">
        <f aca="false">IFERROR(INDEX(Reference_Lists!$C$36:$C$50,MATCH(PROPER(TRIM(Raw_Data!D305)),Reference_Lists!$B$36:$B$50,0)),"UNMATCHED")</f>
        <v>Jabalia</v>
      </c>
      <c r="E296" s="31" t="str">
        <f aca="false">IF(Raw_Data!E305="","",Raw_Data!E305)</f>
        <v>Health</v>
      </c>
      <c r="F296" s="31" t="str">
        <f aca="false">IF(Raw_Data!F305="","",Raw_Data!F305)</f>
        <v>Complaint</v>
      </c>
      <c r="G296" s="32" t="str">
        <f aca="false">IF(Raw_Data!G305="","",Raw_Data!G305)</f>
        <v>Non-Sensitive</v>
      </c>
      <c r="H296" s="32" t="str">
        <f aca="false">IFERROR(INDEX(Reference_Lists!$C$51:$C$57,MATCH(PROPER(TRIM(Raw_Data!H305)),Reference_Lists!$B$51:$B$57,0)),"UNMATCHED")</f>
        <v>Female</v>
      </c>
      <c r="I296" s="32" t="str">
        <f aca="false">IF(Raw_Data!I305="","",Raw_Data!I305)</f>
        <v>18-29</v>
      </c>
      <c r="J296" s="32" t="str">
        <f aca="false">IFERROR(INDEX(Reference_Lists!$C$58:$C$65,MATCH(PROPER(TRIM(Raw_Data!J305)),Reference_Lists!$B$58:$B$65,0)),"UNMATCHED")</f>
        <v>Referred</v>
      </c>
      <c r="K296" s="30" t="str">
        <f aca="false">IF(Raw_Data!K305="","",IF(ISTEXT(Raw_Data!K305),IFERROR(DATE(VALUE(RIGHT(TRIM(Raw_Data!K305),4)),VALUE(MID(TRIM(Raw_Data!K305),4,2)),VALUE(LEFT(TRIM(Raw_Data!K305),2))),"CHECK"),Raw_Data!K305))</f>
        <v/>
      </c>
      <c r="L296" s="33" t="str">
        <f aca="false">IF(Raw_Data!L305="","",Raw_Data!L305)</f>
        <v>Requesting a referral pathway for a family member with limited mobility.</v>
      </c>
      <c r="M296" s="34" t="str">
        <f aca="false">IF(OR(B296="",K296=""),"",IFERROR(K296-B296,"CHECK"))</f>
        <v/>
      </c>
      <c r="N296" s="34" t="n">
        <f aca="false">IFERROR(INDEX(Reference_Lists!$H$13:$H$14,MATCH(G296,Reference_Lists!$G$13:$G$14,0)),"UNMATCHED")</f>
        <v>15</v>
      </c>
      <c r="O296" s="32" t="str">
        <f aca="false">IF(AND(J296="Closed",ISNUMBER(M296),ISNUMBER(N296),M296&gt;=0),M296&lt;=N296,"NOT ASSESSED")</f>
        <v>NOT ASSESSED</v>
      </c>
      <c r="P296" s="36" t="str">
        <f aca="false">Raw_Data!A305</f>
        <v>CFM-2026-0425</v>
      </c>
      <c r="Q296" s="37" t="str">
        <f aca="false">IFERROR(IF(OR($A296="",$P296=""),"MISSING ID",IF(EXACT($A296,$P296),"ALIGNED","MISMATCH")),"CHECK")</f>
        <v>ALIGNED</v>
      </c>
    </row>
    <row r="297" customFormat="false" ht="19.5" hidden="false" customHeight="true" outlineLevel="0" collapsed="false">
      <c r="A297" s="29" t="s">
        <v>421</v>
      </c>
      <c r="B297" s="30" t="n">
        <f aca="false">IF(Raw_Data!B306="","",IF(ISTEXT(Raw_Data!B306),IFERROR(DATE(VALUE(RIGHT(TRIM(Raw_Data!B306),4)),VALUE(MID(TRIM(Raw_Data!B306),4,2)),VALUE(LEFT(TRIM(Raw_Data!B306),2))),"CHECK"),Raw_Data!B306))</f>
        <v>46064</v>
      </c>
      <c r="C297" s="31" t="str">
        <f aca="false">IFERROR(INDEX(Reference_Lists!$C$23:$C$35,MATCH(PROPER(TRIM(Raw_Data!C306)),Reference_Lists!$B$23:$B$35,0)),"UNMATCHED")</f>
        <v>Suggestion Box</v>
      </c>
      <c r="D297" s="31" t="str">
        <f aca="false">IFERROR(INDEX(Reference_Lists!$C$36:$C$50,MATCH(PROPER(TRIM(Raw_Data!D306)),Reference_Lists!$B$36:$B$50,0)),"UNMATCHED")</f>
        <v>Deir al-Balah</v>
      </c>
      <c r="E297" s="31" t="str">
        <f aca="false">IF(Raw_Data!E306="","",Raw_Data!E306)</f>
        <v>Shelter</v>
      </c>
      <c r="F297" s="31" t="str">
        <f aca="false">IF(Raw_Data!F306="","",Raw_Data!F306)</f>
        <v>Suggestion</v>
      </c>
      <c r="G297" s="32" t="str">
        <f aca="false">IF(Raw_Data!G306="","",Raw_Data!G306)</f>
        <v>Non-Sensitive</v>
      </c>
      <c r="H297" s="32" t="str">
        <f aca="false">IFERROR(INDEX(Reference_Lists!$C$51:$C$57,MATCH(PROPER(TRIM(Raw_Data!H306)),Reference_Lists!$B$51:$B$57,0)),"UNMATCHED")</f>
        <v>Female</v>
      </c>
      <c r="I297" s="32" t="str">
        <f aca="false">IF(Raw_Data!I306="","",Raw_Data!I306)</f>
        <v>18-29</v>
      </c>
      <c r="J297" s="32" t="str">
        <f aca="false">IFERROR(INDEX(Reference_Lists!$C$58:$C$65,MATCH(PROPER(TRIM(Raw_Data!J306)),Reference_Lists!$B$58:$B$65,0)),"UNMATCHED")</f>
        <v>In Progress</v>
      </c>
      <c r="K297" s="30" t="str">
        <f aca="false">IF(Raw_Data!K306="","",IF(ISTEXT(Raw_Data!K306),IFERROR(DATE(VALUE(RIGHT(TRIM(Raw_Data!K306),4)),VALUE(MID(TRIM(Raw_Data!K306),4,2)),VALUE(LEFT(TRIM(Raw_Data!K306),2))),"CHECK"),Raw_Data!K306))</f>
        <v/>
      </c>
      <c r="L297" s="33" t="str">
        <f aca="false">IF(Raw_Data!L306="","",Raw_Data!L306)</f>
        <v>Tarpaulin received is torn and does not cover the shelter area.</v>
      </c>
      <c r="M297" s="34" t="str">
        <f aca="false">IF(OR(B297="",K297=""),"",IFERROR(K297-B297,"CHECK"))</f>
        <v/>
      </c>
      <c r="N297" s="34" t="n">
        <f aca="false">IFERROR(INDEX(Reference_Lists!$H$13:$H$14,MATCH(G297,Reference_Lists!$G$13:$G$14,0)),"UNMATCHED")</f>
        <v>15</v>
      </c>
      <c r="O297" s="32" t="str">
        <f aca="false">IF(AND(J297="Closed",ISNUMBER(M297),ISNUMBER(N297),M297&gt;=0),M297&lt;=N297,"NOT ASSESSED")</f>
        <v>NOT ASSESSED</v>
      </c>
      <c r="P297" s="36" t="str">
        <f aca="false">Raw_Data!A306</f>
        <v>CFM-2026-0352</v>
      </c>
      <c r="Q297" s="37" t="str">
        <f aca="false">IFERROR(IF(OR($A297="",$P297=""),"MISSING ID",IF(EXACT($A297,$P297),"ALIGNED","MISMATCH")),"CHECK")</f>
        <v>ALIGNED</v>
      </c>
    </row>
    <row r="298" customFormat="false" ht="19.5" hidden="false" customHeight="true" outlineLevel="0" collapsed="false">
      <c r="A298" s="29" t="s">
        <v>422</v>
      </c>
      <c r="B298" s="30" t="n">
        <f aca="false">IF(Raw_Data!B307="","",IF(ISTEXT(Raw_Data!B307),IFERROR(DATE(VALUE(RIGHT(TRIM(Raw_Data!B307),4)),VALUE(MID(TRIM(Raw_Data!B307),4,2)),VALUE(LEFT(TRIM(Raw_Data!B307),2))),"CHECK"),Raw_Data!B307))</f>
        <v>46164</v>
      </c>
      <c r="C298" s="31" t="str">
        <f aca="false">IFERROR(INDEX(Reference_Lists!$C$23:$C$35,MATCH(PROPER(TRIM(Raw_Data!C307)),Reference_Lists!$B$23:$B$35,0)),"UNMATCHED")</f>
        <v>Suggestion Box</v>
      </c>
      <c r="D298" s="31" t="str">
        <f aca="false">IFERROR(INDEX(Reference_Lists!$C$36:$C$50,MATCH(PROPER(TRIM(Raw_Data!D307)),Reference_Lists!$B$36:$B$50,0)),"UNMATCHED")</f>
        <v>Gaza City</v>
      </c>
      <c r="E298" s="31" t="str">
        <f aca="false">IF(Raw_Data!E307="","",Raw_Data!E307)</f>
        <v>Nutrition</v>
      </c>
      <c r="F298" s="31" t="str">
        <f aca="false">IF(Raw_Data!F307="","",Raw_Data!F307)</f>
        <v>Complaint</v>
      </c>
      <c r="G298" s="32" t="str">
        <f aca="false">IF(Raw_Data!G307="","",Raw_Data!G307)</f>
        <v>Non-Sensitive</v>
      </c>
      <c r="H298" s="32" t="str">
        <f aca="false">IFERROR(INDEX(Reference_Lists!$C$51:$C$57,MATCH(PROPER(TRIM(Raw_Data!H307)),Reference_Lists!$B$51:$B$57,0)),"UNMATCHED")</f>
        <v>Male</v>
      </c>
      <c r="I298" s="32" t="str">
        <f aca="false">IF(Raw_Data!I307="","",Raw_Data!I307)</f>
        <v>Under 18</v>
      </c>
      <c r="J298" s="32" t="str">
        <f aca="false">IFERROR(INDEX(Reference_Lists!$C$58:$C$65,MATCH(PROPER(TRIM(Raw_Data!J307)),Reference_Lists!$B$58:$B$65,0)),"UNMATCHED")</f>
        <v>Closed</v>
      </c>
      <c r="K298" s="30" t="n">
        <f aca="false">IF(Raw_Data!K307="","",IF(ISTEXT(Raw_Data!K307),IFERROR(DATE(VALUE(RIGHT(TRIM(Raw_Data!K307),4)),VALUE(MID(TRIM(Raw_Data!K307),4,2)),VALUE(LEFT(TRIM(Raw_Data!K307),2))),"CHECK"),Raw_Data!K307))</f>
        <v>46189</v>
      </c>
      <c r="L298" s="33" t="str">
        <f aca="false">IF(Raw_Data!L307="","",Raw_Data!L307)</f>
        <v>Supplement was received but the guidance sheet was in English only.</v>
      </c>
      <c r="M298" s="34" t="n">
        <f aca="false">IF(OR(B298="",K298=""),"",IFERROR(K298-B298,"CHECK"))</f>
        <v>25</v>
      </c>
      <c r="N298" s="34" t="n">
        <f aca="false">IFERROR(INDEX(Reference_Lists!$H$13:$H$14,MATCH(G298,Reference_Lists!$G$13:$G$14,0)),"UNMATCHED")</f>
        <v>15</v>
      </c>
      <c r="O298" s="35" t="b">
        <f aca="false">IF(AND(J298="Closed",ISNUMBER(M298),ISNUMBER(N298),M298&gt;=0),M298&lt;=N298,"NOT ASSESSED")</f>
        <v>0</v>
      </c>
      <c r="P298" s="36" t="str">
        <f aca="false">Raw_Data!A307</f>
        <v>CFM-2026-0460</v>
      </c>
      <c r="Q298" s="37" t="str">
        <f aca="false">IFERROR(IF(OR($A298="",$P298=""),"MISSING ID",IF(EXACT($A298,$P298),"ALIGNED","MISMATCH")),"CHECK")</f>
        <v>ALIGNED</v>
      </c>
    </row>
    <row r="299" customFormat="false" ht="19.5" hidden="false" customHeight="true" outlineLevel="0" collapsed="false">
      <c r="A299" s="29" t="s">
        <v>423</v>
      </c>
      <c r="B299" s="30" t="n">
        <f aca="false">IF(Raw_Data!B309="","",IF(ISTEXT(Raw_Data!B309),IFERROR(DATE(VALUE(RIGHT(TRIM(Raw_Data!B309),4)),VALUE(MID(TRIM(Raw_Data!B309),4,2)),VALUE(LEFT(TRIM(Raw_Data!B309),2))),"CHECK"),Raw_Data!B309))</f>
        <v>46213</v>
      </c>
      <c r="C299" s="31" t="str">
        <f aca="false">IFERROR(INDEX(Reference_Lists!$C$23:$C$35,MATCH(PROPER(TRIM(Raw_Data!C309)),Reference_Lists!$B$23:$B$35,0)),"UNMATCHED")</f>
        <v>Suggestion Box</v>
      </c>
      <c r="D299" s="31" t="str">
        <f aca="false">IFERROR(INDEX(Reference_Lists!$C$36:$C$50,MATCH(PROPER(TRIM(Raw_Data!D309)),Reference_Lists!$B$36:$B$50,0)),"UNMATCHED")</f>
        <v>Khan Yunis</v>
      </c>
      <c r="E299" s="31" t="str">
        <f aca="false">IF(Raw_Data!E309="","",Raw_Data!E309)</f>
        <v>Nutrition</v>
      </c>
      <c r="F299" s="31" t="str">
        <f aca="false">IF(Raw_Data!F309="","",Raw_Data!F309)</f>
        <v>Complaint</v>
      </c>
      <c r="G299" s="32" t="str">
        <f aca="false">IF(Raw_Data!G309="","",Raw_Data!G309)</f>
        <v>Non-Sensitive</v>
      </c>
      <c r="H299" s="32" t="str">
        <f aca="false">IFERROR(INDEX(Reference_Lists!$C$51:$C$57,MATCH(PROPER(TRIM(Raw_Data!H309)),Reference_Lists!$B$51:$B$57,0)),"UNMATCHED")</f>
        <v>Female</v>
      </c>
      <c r="I299" s="32" t="str">
        <f aca="false">IF(Raw_Data!I309="","",Raw_Data!I309)</f>
        <v>18-29</v>
      </c>
      <c r="J299" s="32" t="str">
        <f aca="false">IFERROR(INDEX(Reference_Lists!$C$58:$C$65,MATCH(PROPER(TRIM(Raw_Data!J309)),Reference_Lists!$B$58:$B$65,0)),"UNMATCHED")</f>
        <v>Closed</v>
      </c>
      <c r="K299" s="30" t="str">
        <f aca="false">IF(Raw_Data!K309="","",IF(ISTEXT(Raw_Data!K309),IFERROR(DATE(VALUE(RIGHT(TRIM(Raw_Data!K309),4)),VALUE(MID(TRIM(Raw_Data!K309),4,2)),VALUE(LEFT(TRIM(Raw_Data!K309),2))),"CHECK"),Raw_Data!K309))</f>
        <v/>
      </c>
      <c r="L299" s="33" t="str">
        <f aca="false">IF(Raw_Data!L309="","",Raw_Data!L309)</f>
        <v>Requesting a screening session closer to the northern shelter.</v>
      </c>
      <c r="M299" s="34" t="str">
        <f aca="false">IF(OR(B299="",K299=""),"",IFERROR(K299-B299,"CHECK"))</f>
        <v/>
      </c>
      <c r="N299" s="34" t="n">
        <f aca="false">IFERROR(INDEX(Reference_Lists!$H$13:$H$14,MATCH(G299,Reference_Lists!$G$13:$G$14,0)),"UNMATCHED")</f>
        <v>15</v>
      </c>
      <c r="O299" s="32" t="str">
        <f aca="false">IF(AND(J299="Closed",ISNUMBER(M299),ISNUMBER(N299),M299&gt;=0),M299&lt;=N299,"NOT ASSESSED")</f>
        <v>NOT ASSESSED</v>
      </c>
      <c r="P299" s="36" t="str">
        <f aca="false">Raw_Data!A309</f>
        <v>CFM-2026-0311</v>
      </c>
      <c r="Q299" s="37" t="str">
        <f aca="false">IFERROR(IF(OR($A299="",$P299=""),"MISSING ID",IF(EXACT($A299,$P299),"ALIGNED","MISMATCH")),"CHECK")</f>
        <v>ALIGNED</v>
      </c>
    </row>
    <row r="300" customFormat="false" ht="19.5" hidden="false" customHeight="true" outlineLevel="0" collapsed="false">
      <c r="A300" s="29" t="s">
        <v>424</v>
      </c>
      <c r="B300" s="30" t="n">
        <f aca="false">IF(Raw_Data!B310="","",IF(ISTEXT(Raw_Data!B310),IFERROR(DATE(VALUE(RIGHT(TRIM(Raw_Data!B310),4)),VALUE(MID(TRIM(Raw_Data!B310),4,2)),VALUE(LEFT(TRIM(Raw_Data!B310),2))),"CHECK"),Raw_Data!B310))</f>
        <v>46087</v>
      </c>
      <c r="C300" s="31" t="str">
        <f aca="false">IFERROR(INDEX(Reference_Lists!$C$23:$C$35,MATCH(PROPER(TRIM(Raw_Data!C310)),Reference_Lists!$B$23:$B$35,0)),"UNMATCHED")</f>
        <v>Community Focal Point</v>
      </c>
      <c r="D300" s="31" t="str">
        <f aca="false">IFERROR(INDEX(Reference_Lists!$C$36:$C$50,MATCH(PROPER(TRIM(Raw_Data!D310)),Reference_Lists!$B$36:$B$50,0)),"UNMATCHED")</f>
        <v>Nuseirat</v>
      </c>
      <c r="E300" s="31" t="str">
        <f aca="false">IF(Raw_Data!E310="","",Raw_Data!E310)</f>
        <v>Food Security</v>
      </c>
      <c r="F300" s="31" t="str">
        <f aca="false">IF(Raw_Data!F310="","",Raw_Data!F310)</f>
        <v>Sensitive Complaint</v>
      </c>
      <c r="G300" s="32" t="str">
        <f aca="false">IF(Raw_Data!G310="","",Raw_Data!G310)</f>
        <v>Sensitive</v>
      </c>
      <c r="H300" s="32" t="str">
        <f aca="false">IFERROR(INDEX(Reference_Lists!$C$51:$C$57,MATCH(PROPER(TRIM(Raw_Data!H310)),Reference_Lists!$B$51:$B$57,0)),"UNMATCHED")</f>
        <v>Male</v>
      </c>
      <c r="I300" s="32" t="str">
        <f aca="false">IF(Raw_Data!I310="","",Raw_Data!I310)</f>
        <v>60+</v>
      </c>
      <c r="J300" s="32" t="str">
        <f aca="false">IFERROR(INDEX(Reference_Lists!$C$58:$C$65,MATCH(PROPER(TRIM(Raw_Data!J310)),Reference_Lists!$B$58:$B$65,0)),"UNMATCHED")</f>
        <v>Open</v>
      </c>
      <c r="K300" s="30" t="str">
        <f aca="false">IF(Raw_Data!K310="","",IF(ISTEXT(Raw_Data!K310),IFERROR(DATE(VALUE(RIGHT(TRIM(Raw_Data!K310),4)),VALUE(MID(TRIM(Raw_Data!K310),4,2)),VALUE(LEFT(TRIM(Raw_Data!K310),2))),"CHECK"),Raw_Data!K310))</f>
        <v/>
      </c>
      <c r="L300" s="33" t="str">
        <f aca="false">IF(Raw_Data!L310="","",Raw_Data!L310)</f>
        <v>Sensitive case - details recorded separately by the focal point; not stored in this tracker.</v>
      </c>
      <c r="M300" s="34" t="str">
        <f aca="false">IF(OR(B300="",K300=""),"",IFERROR(K300-B300,"CHECK"))</f>
        <v/>
      </c>
      <c r="N300" s="34" t="n">
        <f aca="false">IFERROR(INDEX(Reference_Lists!$H$13:$H$14,MATCH(G300,Reference_Lists!$G$13:$G$14,0)),"UNMATCHED")</f>
        <v>3</v>
      </c>
      <c r="O300" s="32" t="str">
        <f aca="false">IF(AND(J300="Closed",ISNUMBER(M300),ISNUMBER(N300),M300&gt;=0),M300&lt;=N300,"NOT ASSESSED")</f>
        <v>NOT ASSESSED</v>
      </c>
      <c r="P300" s="36" t="str">
        <f aca="false">Raw_Data!A310</f>
        <v>CFM-2026-0466</v>
      </c>
      <c r="Q300" s="37" t="str">
        <f aca="false">IFERROR(IF(OR($A300="",$P300=""),"MISSING ID",IF(EXACT($A300,$P300),"ALIGNED","MISMATCH")),"CHECK")</f>
        <v>ALIGNED</v>
      </c>
    </row>
    <row r="301" customFormat="false" ht="19.5" hidden="false" customHeight="true" outlineLevel="0" collapsed="false">
      <c r="A301" s="29" t="s">
        <v>425</v>
      </c>
      <c r="B301" s="30" t="n">
        <f aca="false">IF(Raw_Data!B311="","",IF(ISTEXT(Raw_Data!B311),IFERROR(DATE(VALUE(RIGHT(TRIM(Raw_Data!B311),4)),VALUE(MID(TRIM(Raw_Data!B311),4,2)),VALUE(LEFT(TRIM(Raw_Data!B311),2))),"CHECK"),Raw_Data!B311))</f>
        <v>46178</v>
      </c>
      <c r="C301" s="31" t="str">
        <f aca="false">IFERROR(INDEX(Reference_Lists!$C$23:$C$35,MATCH(PROPER(TRIM(Raw_Data!C311)),Reference_Lists!$B$23:$B$35,0)),"UNMATCHED")</f>
        <v>Phone Hotline</v>
      </c>
      <c r="D301" s="31" t="str">
        <f aca="false">IFERROR(INDEX(Reference_Lists!$C$36:$C$50,MATCH(PROPER(TRIM(Raw_Data!D311)),Reference_Lists!$B$36:$B$50,0)),"UNMATCHED")</f>
        <v>Gaza City</v>
      </c>
      <c r="E301" s="31" t="str">
        <f aca="false">IF(Raw_Data!E311="","",Raw_Data!E311)</f>
        <v>Health</v>
      </c>
      <c r="F301" s="31" t="str">
        <f aca="false">IF(Raw_Data!F311="","",Raw_Data!F311)</f>
        <v>Appreciation</v>
      </c>
      <c r="G301" s="32" t="str">
        <f aca="false">IF(Raw_Data!G311="","",Raw_Data!G311)</f>
        <v>Non-Sensitive</v>
      </c>
      <c r="H301" s="32" t="str">
        <f aca="false">IFERROR(INDEX(Reference_Lists!$C$51:$C$57,MATCH(PROPER(TRIM(Raw_Data!H311)),Reference_Lists!$B$51:$B$57,0)),"UNMATCHED")</f>
        <v>Male</v>
      </c>
      <c r="I301" s="32" t="str">
        <f aca="false">IF(Raw_Data!I311="","",Raw_Data!I311)</f>
        <v>45-59</v>
      </c>
      <c r="J301" s="32" t="str">
        <f aca="false">IFERROR(INDEX(Reference_Lists!$C$58:$C$65,MATCH(PROPER(TRIM(Raw_Data!J311)),Reference_Lists!$B$58:$B$65,0)),"UNMATCHED")</f>
        <v>Closed</v>
      </c>
      <c r="K301" s="30" t="n">
        <f aca="false">IF(Raw_Data!K311="","",IF(ISTEXT(Raw_Data!K311),IFERROR(DATE(VALUE(RIGHT(TRIM(Raw_Data!K311),4)),VALUE(MID(TRIM(Raw_Data!K311),4,2)),VALUE(LEFT(TRIM(Raw_Data!K311),2))),"CHECK"),Raw_Data!K311))</f>
        <v>46186</v>
      </c>
      <c r="L301" s="33" t="str">
        <f aca="false">IF(Raw_Data!L311="","",Raw_Data!L311)</f>
        <v>Clinic opening hours are not clear to the community.</v>
      </c>
      <c r="M301" s="34" t="n">
        <f aca="false">IF(OR(B301="",K301=""),"",IFERROR(K301-B301,"CHECK"))</f>
        <v>8</v>
      </c>
      <c r="N301" s="34" t="n">
        <f aca="false">IFERROR(INDEX(Reference_Lists!$H$13:$H$14,MATCH(G301,Reference_Lists!$G$13:$G$14,0)),"UNMATCHED")</f>
        <v>15</v>
      </c>
      <c r="O301" s="35" t="b">
        <f aca="false">IF(AND(J301="Closed",ISNUMBER(M301),ISNUMBER(N301),M301&gt;=0),M301&lt;=N301,"NOT ASSESSED")</f>
        <v>1</v>
      </c>
      <c r="P301" s="36" t="str">
        <f aca="false">Raw_Data!A311</f>
        <v>CFM-2026-0009</v>
      </c>
      <c r="Q301" s="37" t="str">
        <f aca="false">IFERROR(IF(OR($A301="",$P301=""),"MISSING ID",IF(EXACT($A301,$P301),"ALIGNED","MISMATCH")),"CHECK")</f>
        <v>ALIGNED</v>
      </c>
    </row>
    <row r="302" customFormat="false" ht="19.5" hidden="false" customHeight="true" outlineLevel="0" collapsed="false">
      <c r="A302" s="29" t="s">
        <v>426</v>
      </c>
      <c r="B302" s="30" t="n">
        <f aca="false">IF(Raw_Data!B312="","",IF(ISTEXT(Raw_Data!B312),IFERROR(DATE(VALUE(RIGHT(TRIM(Raw_Data!B312),4)),VALUE(MID(TRIM(Raw_Data!B312),4,2)),VALUE(LEFT(TRIM(Raw_Data!B312),2))),"CHECK"),Raw_Data!B312))</f>
        <v>46154</v>
      </c>
      <c r="C302" s="31" t="str">
        <f aca="false">IFERROR(INDEX(Reference_Lists!$C$23:$C$35,MATCH(PROPER(TRIM(Raw_Data!C312)),Reference_Lists!$B$23:$B$35,0)),"UNMATCHED")</f>
        <v>In-Person at Distribution</v>
      </c>
      <c r="D302" s="31" t="str">
        <f aca="false">IFERROR(INDEX(Reference_Lists!$C$36:$C$50,MATCH(PROPER(TRIM(Raw_Data!D312)),Reference_Lists!$B$36:$B$50,0)),"UNMATCHED")</f>
        <v>Gaza City</v>
      </c>
      <c r="E302" s="31" t="str">
        <f aca="false">IF(Raw_Data!E312="","",Raw_Data!E312)</f>
        <v>WASH</v>
      </c>
      <c r="F302" s="31" t="str">
        <f aca="false">IF(Raw_Data!F312="","",Raw_Data!F312)</f>
        <v>Complaint</v>
      </c>
      <c r="G302" s="32" t="str">
        <f aca="false">IF(Raw_Data!G312="","",Raw_Data!G312)</f>
        <v>Non-Sensitive</v>
      </c>
      <c r="H302" s="32" t="str">
        <f aca="false">IFERROR(INDEX(Reference_Lists!$C$51:$C$57,MATCH(PROPER(TRIM(Raw_Data!H312)),Reference_Lists!$B$51:$B$57,0)),"UNMATCHED")</f>
        <v>Male</v>
      </c>
      <c r="I302" s="32" t="str">
        <f aca="false">IF(Raw_Data!I312="","",Raw_Data!I312)</f>
        <v>30-44</v>
      </c>
      <c r="J302" s="32" t="str">
        <f aca="false">IFERROR(INDEX(Reference_Lists!$C$58:$C$65,MATCH(PROPER(TRIM(Raw_Data!J312)),Reference_Lists!$B$58:$B$65,0)),"UNMATCHED")</f>
        <v>In Progress</v>
      </c>
      <c r="K302" s="30" t="str">
        <f aca="false">IF(Raw_Data!K312="","",IF(ISTEXT(Raw_Data!K312),IFERROR(DATE(VALUE(RIGHT(TRIM(Raw_Data!K312),4)),VALUE(MID(TRIM(Raw_Data!K312),4,2)),VALUE(LEFT(TRIM(Raw_Data!K312),2))),"CHECK"),Raw_Data!K312))</f>
        <v/>
      </c>
      <c r="L302" s="33" t="str">
        <f aca="false">IF(Raw_Data!L312="","",Raw_Data!L312)</f>
        <v>Water truck did not arrive at the agreed time for three consecutive days.</v>
      </c>
      <c r="M302" s="34" t="str">
        <f aca="false">IF(OR(B302="",K302=""),"",IFERROR(K302-B302,"CHECK"))</f>
        <v/>
      </c>
      <c r="N302" s="34" t="n">
        <f aca="false">IFERROR(INDEX(Reference_Lists!$H$13:$H$14,MATCH(G302,Reference_Lists!$G$13:$G$14,0)),"UNMATCHED")</f>
        <v>15</v>
      </c>
      <c r="O302" s="32" t="str">
        <f aca="false">IF(AND(J302="Closed",ISNUMBER(M302),ISNUMBER(N302),M302&gt;=0),M302&lt;=N302,"NOT ASSESSED")</f>
        <v>NOT ASSESSED</v>
      </c>
      <c r="P302" s="36" t="str">
        <f aca="false">Raw_Data!A312</f>
        <v>CFM-2026-0399</v>
      </c>
      <c r="Q302" s="37" t="str">
        <f aca="false">IFERROR(IF(OR($A302="",$P302=""),"MISSING ID",IF(EXACT($A302,$P302),"ALIGNED","MISMATCH")),"CHECK")</f>
        <v>ALIGNED</v>
      </c>
    </row>
    <row r="303" customFormat="false" ht="19.5" hidden="false" customHeight="true" outlineLevel="0" collapsed="false">
      <c r="A303" s="29" t="s">
        <v>427</v>
      </c>
      <c r="B303" s="30" t="n">
        <f aca="false">IF(Raw_Data!B313="","",IF(ISTEXT(Raw_Data!B313),IFERROR(DATE(VALUE(RIGHT(TRIM(Raw_Data!B313),4)),VALUE(MID(TRIM(Raw_Data!B313),4,2)),VALUE(LEFT(TRIM(Raw_Data!B313),2))),"CHECK"),Raw_Data!B313))</f>
        <v>46158</v>
      </c>
      <c r="C303" s="31" t="str">
        <f aca="false">IFERROR(INDEX(Reference_Lists!$C$23:$C$35,MATCH(PROPER(TRIM(Raw_Data!C313)),Reference_Lists!$B$23:$B$35,0)),"UNMATCHED")</f>
        <v>In-Person at Distribution</v>
      </c>
      <c r="D303" s="31" t="str">
        <f aca="false">IFERROR(INDEX(Reference_Lists!$C$36:$C$50,MATCH(PROPER(TRIM(Raw_Data!D313)),Reference_Lists!$B$36:$B$50,0)),"UNMATCHED")</f>
        <v>Jabalia</v>
      </c>
      <c r="E303" s="31" t="str">
        <f aca="false">IF(Raw_Data!E313="","",Raw_Data!E313)</f>
        <v>Health</v>
      </c>
      <c r="F303" s="31" t="str">
        <f aca="false">IF(Raw_Data!F313="","",Raw_Data!F313)</f>
        <v>Complaint</v>
      </c>
      <c r="G303" s="32" t="str">
        <f aca="false">IF(Raw_Data!G313="","",Raw_Data!G313)</f>
        <v>Non-Sensitive</v>
      </c>
      <c r="H303" s="32" t="str">
        <f aca="false">IFERROR(INDEX(Reference_Lists!$C$51:$C$57,MATCH(PROPER(TRIM(Raw_Data!H313)),Reference_Lists!$B$51:$B$57,0)),"UNMATCHED")</f>
        <v>Female</v>
      </c>
      <c r="I303" s="32" t="str">
        <f aca="false">IF(Raw_Data!I313="","",Raw_Data!I313)</f>
        <v>18-29</v>
      </c>
      <c r="J303" s="32" t="str">
        <f aca="false">IFERROR(INDEX(Reference_Lists!$C$58:$C$65,MATCH(PROPER(TRIM(Raw_Data!J313)),Reference_Lists!$B$58:$B$65,0)),"UNMATCHED")</f>
        <v>Closed</v>
      </c>
      <c r="K303" s="30" t="n">
        <f aca="false">IF(Raw_Data!K313="","",IF(ISTEXT(Raw_Data!K313),IFERROR(DATE(VALUE(RIGHT(TRIM(Raw_Data!K313),4)),VALUE(MID(TRIM(Raw_Data!K313),4,2)),VALUE(LEFT(TRIM(Raw_Data!K313),2))),"CHECK"),Raw_Data!K313))</f>
        <v>46165</v>
      </c>
      <c r="L303" s="33" t="str">
        <f aca="false">IF(Raw_Data!L313="","",Raw_Data!L313)</f>
        <v>Clinic opening hours are not clear to the community.</v>
      </c>
      <c r="M303" s="34" t="n">
        <f aca="false">IF(OR(B303="",K303=""),"",IFERROR(K303-B303,"CHECK"))</f>
        <v>7</v>
      </c>
      <c r="N303" s="34" t="n">
        <f aca="false">IFERROR(INDEX(Reference_Lists!$H$13:$H$14,MATCH(G303,Reference_Lists!$G$13:$G$14,0)),"UNMATCHED")</f>
        <v>15</v>
      </c>
      <c r="O303" s="35" t="b">
        <f aca="false">IF(AND(J303="Closed",ISNUMBER(M303),ISNUMBER(N303),M303&gt;=0),M303&lt;=N303,"NOT ASSESSED")</f>
        <v>1</v>
      </c>
      <c r="P303" s="36" t="str">
        <f aca="false">Raw_Data!A313</f>
        <v>CFM-2026-0251</v>
      </c>
      <c r="Q303" s="37" t="str">
        <f aca="false">IFERROR(IF(OR($A303="",$P303=""),"MISSING ID",IF(EXACT($A303,$P303),"ALIGNED","MISMATCH")),"CHECK")</f>
        <v>ALIGNED</v>
      </c>
    </row>
    <row r="304" customFormat="false" ht="19.5" hidden="false" customHeight="true" outlineLevel="0" collapsed="false">
      <c r="A304" s="29" t="s">
        <v>428</v>
      </c>
      <c r="B304" s="30" t="n">
        <f aca="false">IF(Raw_Data!B314="","",IF(ISTEXT(Raw_Data!B314),IFERROR(DATE(VALUE(RIGHT(TRIM(Raw_Data!B314),4)),VALUE(MID(TRIM(Raw_Data!B314),4,2)),VALUE(LEFT(TRIM(Raw_Data!B314),2))),"CHECK"),Raw_Data!B314))</f>
        <v>46165</v>
      </c>
      <c r="C304" s="31" t="str">
        <f aca="false">IFERROR(INDEX(Reference_Lists!$C$23:$C$35,MATCH(PROPER(TRIM(Raw_Data!C314)),Reference_Lists!$B$23:$B$35,0)),"UNMATCHED")</f>
        <v>Community Focal Point</v>
      </c>
      <c r="D304" s="31" t="str">
        <f aca="false">IFERROR(INDEX(Reference_Lists!$C$36:$C$50,MATCH(PROPER(TRIM(Raw_Data!D314)),Reference_Lists!$B$36:$B$50,0)),"UNMATCHED")</f>
        <v>Rafah</v>
      </c>
      <c r="E304" s="31" t="str">
        <f aca="false">IF(Raw_Data!E314="","",Raw_Data!E314)</f>
        <v>Shelter</v>
      </c>
      <c r="F304" s="31" t="str">
        <f aca="false">IF(Raw_Data!F314="","",Raw_Data!F314)</f>
        <v>Request for Information</v>
      </c>
      <c r="G304" s="32" t="str">
        <f aca="false">IF(Raw_Data!G314="","",Raw_Data!G314)</f>
        <v>Non-Sensitive</v>
      </c>
      <c r="H304" s="32" t="str">
        <f aca="false">IFERROR(INDEX(Reference_Lists!$C$51:$C$57,MATCH(PROPER(TRIM(Raw_Data!H314)),Reference_Lists!$B$51:$B$57,0)),"UNMATCHED")</f>
        <v>Male</v>
      </c>
      <c r="I304" s="32" t="str">
        <f aca="false">IF(Raw_Data!I314="","",Raw_Data!I314)</f>
        <v>30-44</v>
      </c>
      <c r="J304" s="32" t="str">
        <f aca="false">IFERROR(INDEX(Reference_Lists!$C$58:$C$65,MATCH(PROPER(TRIM(Raw_Data!J314)),Reference_Lists!$B$58:$B$65,0)),"UNMATCHED")</f>
        <v>Closed</v>
      </c>
      <c r="K304" s="30" t="n">
        <f aca="false">IF(Raw_Data!K314="","",IF(ISTEXT(Raw_Data!K314),IFERROR(DATE(VALUE(RIGHT(TRIM(Raw_Data!K314),4)),VALUE(MID(TRIM(Raw_Data!K314),4,2)),VALUE(LEFT(TRIM(Raw_Data!K314),2))),"CHECK"),Raw_Data!K314))</f>
        <v>46193</v>
      </c>
      <c r="L304" s="33" t="str">
        <f aca="false">IF(Raw_Data!L314="","",Raw_Data!L314)</f>
        <v>Shelter kit delivered on time and the team explained the use clearly.</v>
      </c>
      <c r="M304" s="34" t="n">
        <f aca="false">IF(OR(B304="",K304=""),"",IFERROR(K304-B304,"CHECK"))</f>
        <v>28</v>
      </c>
      <c r="N304" s="34" t="n">
        <f aca="false">IFERROR(INDEX(Reference_Lists!$H$13:$H$14,MATCH(G304,Reference_Lists!$G$13:$G$14,0)),"UNMATCHED")</f>
        <v>15</v>
      </c>
      <c r="O304" s="35" t="b">
        <f aca="false">IF(AND(J304="Closed",ISNUMBER(M304),ISNUMBER(N304),M304&gt;=0),M304&lt;=N304,"NOT ASSESSED")</f>
        <v>0</v>
      </c>
      <c r="P304" s="36" t="str">
        <f aca="false">Raw_Data!A314</f>
        <v>CFM-2026-0431</v>
      </c>
      <c r="Q304" s="37" t="str">
        <f aca="false">IFERROR(IF(OR($A304="",$P304=""),"MISSING ID",IF(EXACT($A304,$P304),"ALIGNED","MISMATCH")),"CHECK")</f>
        <v>ALIGNED</v>
      </c>
    </row>
    <row r="305" customFormat="false" ht="19.5" hidden="false" customHeight="true" outlineLevel="0" collapsed="false">
      <c r="A305" s="29" t="s">
        <v>429</v>
      </c>
      <c r="B305" s="30" t="n">
        <f aca="false">IF(Raw_Data!B315="","",IF(ISTEXT(Raw_Data!B315),IFERROR(DATE(VALUE(RIGHT(TRIM(Raw_Data!B315),4)),VALUE(MID(TRIM(Raw_Data!B315),4,2)),VALUE(LEFT(TRIM(Raw_Data!B315),2))),"CHECK"),Raw_Data!B315))</f>
        <v>46217</v>
      </c>
      <c r="C305" s="31" t="str">
        <f aca="false">IFERROR(INDEX(Reference_Lists!$C$23:$C$35,MATCH(PROPER(TRIM(Raw_Data!C315)),Reference_Lists!$B$23:$B$35,0)),"UNMATCHED")</f>
        <v>Phone Hotline</v>
      </c>
      <c r="D305" s="31" t="str">
        <f aca="false">IFERROR(INDEX(Reference_Lists!$C$36:$C$50,MATCH(PROPER(TRIM(Raw_Data!D315)),Reference_Lists!$B$36:$B$50,0)),"UNMATCHED")</f>
        <v>Jabalia</v>
      </c>
      <c r="E305" s="31" t="str">
        <f aca="false">IF(Raw_Data!E315="","",Raw_Data!E315)</f>
        <v/>
      </c>
      <c r="F305" s="31" t="str">
        <f aca="false">IF(Raw_Data!F315="","",Raw_Data!F315)</f>
        <v>Request for Information</v>
      </c>
      <c r="G305" s="32" t="str">
        <f aca="false">IF(Raw_Data!G315="","",Raw_Data!G315)</f>
        <v>Non-Sensitive</v>
      </c>
      <c r="H305" s="32" t="str">
        <f aca="false">IFERROR(INDEX(Reference_Lists!$C$51:$C$57,MATCH(PROPER(TRIM(Raw_Data!H315)),Reference_Lists!$B$51:$B$57,0)),"UNMATCHED")</f>
        <v>Female</v>
      </c>
      <c r="I305" s="32" t="str">
        <f aca="false">IF(Raw_Data!I315="","",Raw_Data!I315)</f>
        <v>18-29</v>
      </c>
      <c r="J305" s="32" t="str">
        <f aca="false">IFERROR(INDEX(Reference_Lists!$C$58:$C$65,MATCH(PROPER(TRIM(Raw_Data!J315)),Reference_Lists!$B$58:$B$65,0)),"UNMATCHED")</f>
        <v>Closed</v>
      </c>
      <c r="K305" s="30" t="n">
        <f aca="false">IF(Raw_Data!K315="","",IF(ISTEXT(Raw_Data!K315),IFERROR(DATE(VALUE(RIGHT(TRIM(Raw_Data!K315),4)),VALUE(MID(TRIM(Raw_Data!K315),4,2)),VALUE(LEFT(TRIM(Raw_Data!K315),2))),"CHECK"),Raw_Data!K315))</f>
        <v>46222</v>
      </c>
      <c r="L305" s="33" t="str">
        <f aca="false">IF(Raw_Data!L315="","",Raw_Data!L315)</f>
        <v>Latrine at the site block needs cleaning and lighting at night.</v>
      </c>
      <c r="M305" s="34" t="n">
        <f aca="false">IF(OR(B305="",K305=""),"",IFERROR(K305-B305,"CHECK"))</f>
        <v>5</v>
      </c>
      <c r="N305" s="34" t="n">
        <f aca="false">IFERROR(INDEX(Reference_Lists!$H$13:$H$14,MATCH(G305,Reference_Lists!$G$13:$G$14,0)),"UNMATCHED")</f>
        <v>15</v>
      </c>
      <c r="O305" s="35" t="b">
        <f aca="false">IF(AND(J305="Closed",ISNUMBER(M305),ISNUMBER(N305),M305&gt;=0),M305&lt;=N305,"NOT ASSESSED")</f>
        <v>1</v>
      </c>
      <c r="P305" s="36" t="str">
        <f aca="false">Raw_Data!A315</f>
        <v>CFM-2026-0240</v>
      </c>
      <c r="Q305" s="37" t="str">
        <f aca="false">IFERROR(IF(OR($A305="",$P305=""),"MISSING ID",IF(EXACT($A305,$P305),"ALIGNED","MISMATCH")),"CHECK")</f>
        <v>ALIGNED</v>
      </c>
    </row>
    <row r="306" customFormat="false" ht="19.5" hidden="false" customHeight="true" outlineLevel="0" collapsed="false">
      <c r="A306" s="29" t="s">
        <v>430</v>
      </c>
      <c r="B306" s="30" t="n">
        <f aca="false">IF(Raw_Data!B317="","",IF(ISTEXT(Raw_Data!B317),IFERROR(DATE(VALUE(RIGHT(TRIM(Raw_Data!B317),4)),VALUE(MID(TRIM(Raw_Data!B317),4,2)),VALUE(LEFT(TRIM(Raw_Data!B317),2))),"CHECK"),Raw_Data!B317))</f>
        <v>46165</v>
      </c>
      <c r="C306" s="31" t="str">
        <f aca="false">IFERROR(INDEX(Reference_Lists!$C$23:$C$35,MATCH(PROPER(TRIM(Raw_Data!C317)),Reference_Lists!$B$23:$B$35,0)),"UNMATCHED")</f>
        <v>Help Desk</v>
      </c>
      <c r="D306" s="31" t="str">
        <f aca="false">IFERROR(INDEX(Reference_Lists!$C$36:$C$50,MATCH(PROPER(TRIM(Raw_Data!D317)),Reference_Lists!$B$36:$B$50,0)),"UNMATCHED")</f>
        <v>Rafah</v>
      </c>
      <c r="E306" s="31" t="str">
        <f aca="false">IF(Raw_Data!E317="","",Raw_Data!E317)</f>
        <v>Health</v>
      </c>
      <c r="F306" s="31" t="str">
        <f aca="false">IF(Raw_Data!F317="","",Raw_Data!F317)</f>
        <v>Complaint</v>
      </c>
      <c r="G306" s="32" t="str">
        <f aca="false">IF(Raw_Data!G317="","",Raw_Data!G317)</f>
        <v>Non-Sensitive</v>
      </c>
      <c r="H306" s="32" t="str">
        <f aca="false">IFERROR(INDEX(Reference_Lists!$C$51:$C$57,MATCH(PROPER(TRIM(Raw_Data!H317)),Reference_Lists!$B$51:$B$57,0)),"UNMATCHED")</f>
        <v>Male</v>
      </c>
      <c r="I306" s="32" t="str">
        <f aca="false">IF(Raw_Data!I317="","",Raw_Data!I317)</f>
        <v>60+</v>
      </c>
      <c r="J306" s="32" t="str">
        <f aca="false">IFERROR(INDEX(Reference_Lists!$C$58:$C$65,MATCH(PROPER(TRIM(Raw_Data!J317)),Reference_Lists!$B$58:$B$65,0)),"UNMATCHED")</f>
        <v>Open</v>
      </c>
      <c r="K306" s="30" t="str">
        <f aca="false">IF(Raw_Data!K317="","",IF(ISTEXT(Raw_Data!K317),IFERROR(DATE(VALUE(RIGHT(TRIM(Raw_Data!K317),4)),VALUE(MID(TRIM(Raw_Data!K317),4,2)),VALUE(LEFT(TRIM(Raw_Data!K317),2))),"CHECK"),Raw_Data!K317))</f>
        <v/>
      </c>
      <c r="L306" s="33" t="str">
        <f aca="false">IF(Raw_Data!L317="","",Raw_Data!L317)</f>
        <v>Clinic opening hours are not clear to the community.</v>
      </c>
      <c r="M306" s="34" t="str">
        <f aca="false">IF(OR(B306="",K306=""),"",IFERROR(K306-B306,"CHECK"))</f>
        <v/>
      </c>
      <c r="N306" s="34" t="n">
        <f aca="false">IFERROR(INDEX(Reference_Lists!$H$13:$H$14,MATCH(G306,Reference_Lists!$G$13:$G$14,0)),"UNMATCHED")</f>
        <v>15</v>
      </c>
      <c r="O306" s="32" t="str">
        <f aca="false">IF(AND(J306="Closed",ISNUMBER(M306),ISNUMBER(N306),M306&gt;=0),M306&lt;=N306,"NOT ASSESSED")</f>
        <v>NOT ASSESSED</v>
      </c>
      <c r="P306" s="36" t="str">
        <f aca="false">Raw_Data!A317</f>
        <v>CFM-2026-0176</v>
      </c>
      <c r="Q306" s="37" t="str">
        <f aca="false">IFERROR(IF(OR($A306="",$P306=""),"MISSING ID",IF(EXACT($A306,$P306),"ALIGNED","MISMATCH")),"CHECK")</f>
        <v>ALIGNED</v>
      </c>
    </row>
    <row r="307" customFormat="false" ht="19.5" hidden="false" customHeight="true" outlineLevel="0" collapsed="false">
      <c r="A307" s="29" t="s">
        <v>431</v>
      </c>
      <c r="B307" s="30" t="n">
        <f aca="false">IF(Raw_Data!B318="","",IF(ISTEXT(Raw_Data!B318),IFERROR(DATE(VALUE(RIGHT(TRIM(Raw_Data!B318),4)),VALUE(MID(TRIM(Raw_Data!B318),4,2)),VALUE(LEFT(TRIM(Raw_Data!B318),2))),"CHECK"),Raw_Data!B318))</f>
        <v>46222</v>
      </c>
      <c r="C307" s="31" t="str">
        <f aca="false">IFERROR(INDEX(Reference_Lists!$C$23:$C$35,MATCH(PROPER(TRIM(Raw_Data!C318)),Reference_Lists!$B$23:$B$35,0)),"UNMATCHED")</f>
        <v>Help Desk</v>
      </c>
      <c r="D307" s="31" t="str">
        <f aca="false">IFERROR(INDEX(Reference_Lists!$C$36:$C$50,MATCH(PROPER(TRIM(Raw_Data!D318)),Reference_Lists!$B$36:$B$50,0)),"UNMATCHED")</f>
        <v>Jabalia</v>
      </c>
      <c r="E307" s="31" t="str">
        <f aca="false">IF(Raw_Data!E318="","",Raw_Data!E318)</f>
        <v>Nutrition</v>
      </c>
      <c r="F307" s="31" t="str">
        <f aca="false">IF(Raw_Data!F318="","",Raw_Data!F318)</f>
        <v>Appreciation</v>
      </c>
      <c r="G307" s="32" t="str">
        <f aca="false">IF(Raw_Data!G318="","",Raw_Data!G318)</f>
        <v>Non-Sensitive</v>
      </c>
      <c r="H307" s="32" t="str">
        <f aca="false">IFERROR(INDEX(Reference_Lists!$C$51:$C$57,MATCH(PROPER(TRIM(Raw_Data!H318)),Reference_Lists!$B$51:$B$57,0)),"UNMATCHED")</f>
        <v>Female</v>
      </c>
      <c r="I307" s="32" t="str">
        <f aca="false">IF(Raw_Data!I318="","",Raw_Data!I318)</f>
        <v>18-29</v>
      </c>
      <c r="J307" s="32" t="str">
        <f aca="false">IFERROR(INDEX(Reference_Lists!$C$58:$C$65,MATCH(PROPER(TRIM(Raw_Data!J318)),Reference_Lists!$B$58:$B$65,0)),"UNMATCHED")</f>
        <v>Closed</v>
      </c>
      <c r="K307" s="30" t="str">
        <f aca="false">IF(Raw_Data!K318="","",IF(ISTEXT(Raw_Data!K318),IFERROR(DATE(VALUE(RIGHT(TRIM(Raw_Data!K318),4)),VALUE(MID(TRIM(Raw_Data!K318),4,2)),VALUE(LEFT(TRIM(Raw_Data!K318),2))),"CHECK"),Raw_Data!K318))</f>
        <v/>
      </c>
      <c r="L307" s="33" t="str">
        <f aca="false">IF(Raw_Data!L318="","",Raw_Data!L318)</f>
        <v>Asking whether children above five are included in the screening.</v>
      </c>
      <c r="M307" s="34" t="str">
        <f aca="false">IF(OR(B307="",K307=""),"",IFERROR(K307-B307,"CHECK"))</f>
        <v/>
      </c>
      <c r="N307" s="34" t="n">
        <f aca="false">IFERROR(INDEX(Reference_Lists!$H$13:$H$14,MATCH(G307,Reference_Lists!$G$13:$G$14,0)),"UNMATCHED")</f>
        <v>15</v>
      </c>
      <c r="O307" s="32" t="str">
        <f aca="false">IF(AND(J307="Closed",ISNUMBER(M307),ISNUMBER(N307),M307&gt;=0),M307&lt;=N307,"NOT ASSESSED")</f>
        <v>NOT ASSESSED</v>
      </c>
      <c r="P307" s="36" t="str">
        <f aca="false">Raw_Data!A318</f>
        <v>CFM-2026-0035</v>
      </c>
      <c r="Q307" s="37" t="str">
        <f aca="false">IFERROR(IF(OR($A307="",$P307=""),"MISSING ID",IF(EXACT($A307,$P307),"ALIGNED","MISMATCH")),"CHECK")</f>
        <v>ALIGNED</v>
      </c>
    </row>
    <row r="308" customFormat="false" ht="19.5" hidden="false" customHeight="true" outlineLevel="0" collapsed="false">
      <c r="A308" s="29" t="s">
        <v>432</v>
      </c>
      <c r="B308" s="30" t="n">
        <f aca="false">IF(Raw_Data!B319="","",IF(ISTEXT(Raw_Data!B319),IFERROR(DATE(VALUE(RIGHT(TRIM(Raw_Data!B319),4)),VALUE(MID(TRIM(Raw_Data!B319),4,2)),VALUE(LEFT(TRIM(Raw_Data!B319),2))),"CHECK"),Raw_Data!B319))</f>
        <v>46066</v>
      </c>
      <c r="C308" s="31" t="str">
        <f aca="false">IFERROR(INDEX(Reference_Lists!$C$23:$C$35,MATCH(PROPER(TRIM(Raw_Data!C319)),Reference_Lists!$B$23:$B$35,0)),"UNMATCHED")</f>
        <v>Help Desk</v>
      </c>
      <c r="D308" s="31" t="str">
        <f aca="false">IFERROR(INDEX(Reference_Lists!$C$36:$C$50,MATCH(PROPER(TRIM(Raw_Data!D319)),Reference_Lists!$B$36:$B$50,0)),"UNMATCHED")</f>
        <v>Nuseirat</v>
      </c>
      <c r="E308" s="31" t="str">
        <f aca="false">IF(Raw_Data!E319="","",Raw_Data!E319)</f>
        <v>Health</v>
      </c>
      <c r="F308" s="31" t="str">
        <f aca="false">IF(Raw_Data!F319="","",Raw_Data!F319)</f>
        <v>Complaint</v>
      </c>
      <c r="G308" s="32" t="str">
        <f aca="false">IF(Raw_Data!G319="","",Raw_Data!G319)</f>
        <v>Non-Sensitive</v>
      </c>
      <c r="H308" s="32" t="str">
        <f aca="false">IFERROR(INDEX(Reference_Lists!$C$51:$C$57,MATCH(PROPER(TRIM(Raw_Data!H319)),Reference_Lists!$B$51:$B$57,0)),"UNMATCHED")</f>
        <v>Male</v>
      </c>
      <c r="I308" s="32" t="str">
        <f aca="false">IF(Raw_Data!I319="","",Raw_Data!I319)</f>
        <v>60+</v>
      </c>
      <c r="J308" s="32" t="str">
        <f aca="false">IFERROR(INDEX(Reference_Lists!$C$58:$C$65,MATCH(PROPER(TRIM(Raw_Data!J319)),Reference_Lists!$B$58:$B$65,0)),"UNMATCHED")</f>
        <v>Open</v>
      </c>
      <c r="K308" s="30" t="n">
        <f aca="false">IF(Raw_Data!K319="","",IF(ISTEXT(Raw_Data!K319),IFERROR(DATE(VALUE(RIGHT(TRIM(Raw_Data!K319),4)),VALUE(MID(TRIM(Raw_Data!K319),4,2)),VALUE(LEFT(TRIM(Raw_Data!K319),2))),"CHECK"),Raw_Data!K319))</f>
        <v>46086</v>
      </c>
      <c r="L308" s="33" t="str">
        <f aca="false">IF(Raw_Data!L319="","",Raw_Data!L319)</f>
        <v>Waiting time at the mobile clinic is long during afternoon hours.</v>
      </c>
      <c r="M308" s="34" t="n">
        <f aca="false">IF(OR(B308="",K308=""),"",IFERROR(K308-B308,"CHECK"))</f>
        <v>20</v>
      </c>
      <c r="N308" s="34" t="n">
        <f aca="false">IFERROR(INDEX(Reference_Lists!$H$13:$H$14,MATCH(G308,Reference_Lists!$G$13:$G$14,0)),"UNMATCHED")</f>
        <v>15</v>
      </c>
      <c r="O308" s="32" t="str">
        <f aca="false">IF(AND(J308="Closed",ISNUMBER(M308),ISNUMBER(N308),M308&gt;=0),M308&lt;=N308,"NOT ASSESSED")</f>
        <v>NOT ASSESSED</v>
      </c>
      <c r="P308" s="36" t="str">
        <f aca="false">Raw_Data!A319</f>
        <v>CFM-2026-0491</v>
      </c>
      <c r="Q308" s="37" t="str">
        <f aca="false">IFERROR(IF(OR($A308="",$P308=""),"MISSING ID",IF(EXACT($A308,$P308),"ALIGNED","MISMATCH")),"CHECK")</f>
        <v>ALIGNED</v>
      </c>
    </row>
    <row r="309" customFormat="false" ht="19.5" hidden="false" customHeight="true" outlineLevel="0" collapsed="false">
      <c r="A309" s="29" t="s">
        <v>433</v>
      </c>
      <c r="B309" s="30" t="n">
        <f aca="false">IF(Raw_Data!B320="","",IF(ISTEXT(Raw_Data!B320),IFERROR(DATE(VALUE(RIGHT(TRIM(Raw_Data!B320),4)),VALUE(MID(TRIM(Raw_Data!B320),4,2)),VALUE(LEFT(TRIM(Raw_Data!B320),2))),"CHECK"),Raw_Data!B320))</f>
        <v>46203</v>
      </c>
      <c r="C309" s="31" t="str">
        <f aca="false">IFERROR(INDEX(Reference_Lists!$C$23:$C$35,MATCH(PROPER(TRIM(Raw_Data!C320)),Reference_Lists!$B$23:$B$35,0)),"UNMATCHED")</f>
        <v>In-Person at Distribution</v>
      </c>
      <c r="D309" s="31" t="str">
        <f aca="false">IFERROR(INDEX(Reference_Lists!$C$36:$C$50,MATCH(PROPER(TRIM(Raw_Data!D320)),Reference_Lists!$B$36:$B$50,0)),"UNMATCHED")</f>
        <v>Jabalia</v>
      </c>
      <c r="E309" s="31" t="str">
        <f aca="false">IF(Raw_Data!E320="","",Raw_Data!E320)</f>
        <v>Health</v>
      </c>
      <c r="F309" s="31" t="str">
        <f aca="false">IF(Raw_Data!F320="","",Raw_Data!F320)</f>
        <v>Sensitive Complaint</v>
      </c>
      <c r="G309" s="32" t="str">
        <f aca="false">IF(Raw_Data!G320="","",Raw_Data!G320)</f>
        <v>Sensitive</v>
      </c>
      <c r="H309" s="32" t="str">
        <f aca="false">IFERROR(INDEX(Reference_Lists!$C$51:$C$57,MATCH(PROPER(TRIM(Raw_Data!H320)),Reference_Lists!$B$51:$B$57,0)),"UNMATCHED")</f>
        <v>Female</v>
      </c>
      <c r="I309" s="32" t="str">
        <f aca="false">IF(Raw_Data!I320="","",Raw_Data!I320)</f>
        <v>30-44</v>
      </c>
      <c r="J309" s="32" t="str">
        <f aca="false">IFERROR(INDEX(Reference_Lists!$C$58:$C$65,MATCH(PROPER(TRIM(Raw_Data!J320)),Reference_Lists!$B$58:$B$65,0)),"UNMATCHED")</f>
        <v>Closed</v>
      </c>
      <c r="K309" s="30" t="n">
        <f aca="false">IF(Raw_Data!K320="","",IF(ISTEXT(Raw_Data!K320),IFERROR(DATE(VALUE(RIGHT(TRIM(Raw_Data!K320),4)),VALUE(MID(TRIM(Raw_Data!K320),4,2)),VALUE(LEFT(TRIM(Raw_Data!K320),2))),"CHECK"),Raw_Data!K320))</f>
        <v>46205</v>
      </c>
      <c r="L309" s="33" t="str">
        <f aca="false">IF(Raw_Data!L320="","",Raw_Data!L320)</f>
        <v>Sensitive case - details recorded separately by the focal point; not stored in this tracker.</v>
      </c>
      <c r="M309" s="34" t="n">
        <f aca="false">IF(OR(B309="",K309=""),"",IFERROR(K309-B309,"CHECK"))</f>
        <v>2</v>
      </c>
      <c r="N309" s="34" t="n">
        <f aca="false">IFERROR(INDEX(Reference_Lists!$H$13:$H$14,MATCH(G309,Reference_Lists!$G$13:$G$14,0)),"UNMATCHED")</f>
        <v>3</v>
      </c>
      <c r="O309" s="35" t="b">
        <f aca="false">IF(AND(J309="Closed",ISNUMBER(M309),ISNUMBER(N309),M309&gt;=0),M309&lt;=N309,"NOT ASSESSED")</f>
        <v>1</v>
      </c>
      <c r="P309" s="36" t="str">
        <f aca="false">Raw_Data!A320</f>
        <v>CFM-2026-0129</v>
      </c>
      <c r="Q309" s="37" t="str">
        <f aca="false">IFERROR(IF(OR($A309="",$P309=""),"MISSING ID",IF(EXACT($A309,$P309),"ALIGNED","MISMATCH")),"CHECK")</f>
        <v>ALIGNED</v>
      </c>
    </row>
    <row r="310" customFormat="false" ht="19.5" hidden="false" customHeight="true" outlineLevel="0" collapsed="false">
      <c r="A310" s="29" t="s">
        <v>434</v>
      </c>
      <c r="B310" s="30" t="n">
        <f aca="false">IF(Raw_Data!B321="","",IF(ISTEXT(Raw_Data!B321),IFERROR(DATE(VALUE(RIGHT(TRIM(Raw_Data!B321),4)),VALUE(MID(TRIM(Raw_Data!B321),4,2)),VALUE(LEFT(TRIM(Raw_Data!B321),2))),"CHECK"),Raw_Data!B321))</f>
        <v>46158</v>
      </c>
      <c r="C310" s="31" t="str">
        <f aca="false">IFERROR(INDEX(Reference_Lists!$C$23:$C$35,MATCH(PROPER(TRIM(Raw_Data!C321)),Reference_Lists!$B$23:$B$35,0)),"UNMATCHED")</f>
        <v>Phone Hotline</v>
      </c>
      <c r="D310" s="31" t="str">
        <f aca="false">IFERROR(INDEX(Reference_Lists!$C$36:$C$50,MATCH(PROPER(TRIM(Raw_Data!D321)),Reference_Lists!$B$36:$B$50,0)),"UNMATCHED")</f>
        <v>Gaza City</v>
      </c>
      <c r="E310" s="31" t="str">
        <f aca="false">IF(Raw_Data!E321="","",Raw_Data!E321)</f>
        <v>Nutrition</v>
      </c>
      <c r="F310" s="31" t="str">
        <f aca="false">IF(Raw_Data!F321="","",Raw_Data!F321)</f>
        <v>Request for Information</v>
      </c>
      <c r="G310" s="32" t="str">
        <f aca="false">IF(Raw_Data!G321="","",Raw_Data!G321)</f>
        <v>Non-Sensitive</v>
      </c>
      <c r="H310" s="32" t="str">
        <f aca="false">IFERROR(INDEX(Reference_Lists!$C$51:$C$57,MATCH(PROPER(TRIM(Raw_Data!H321)),Reference_Lists!$B$51:$B$57,0)),"UNMATCHED")</f>
        <v>Male</v>
      </c>
      <c r="I310" s="32" t="str">
        <f aca="false">IF(Raw_Data!I321="","",Raw_Data!I321)</f>
        <v>45-59</v>
      </c>
      <c r="J310" s="32" t="str">
        <f aca="false">IFERROR(INDEX(Reference_Lists!$C$58:$C$65,MATCH(PROPER(TRIM(Raw_Data!J321)),Reference_Lists!$B$58:$B$65,0)),"UNMATCHED")</f>
        <v>In Progress</v>
      </c>
      <c r="K310" s="30" t="str">
        <f aca="false">IF(Raw_Data!K321="","",IF(ISTEXT(Raw_Data!K321),IFERROR(DATE(VALUE(RIGHT(TRIM(Raw_Data!K321),4)),VALUE(MID(TRIM(Raw_Data!K321),4,2)),VALUE(LEFT(TRIM(Raw_Data!K321),2))),"CHECK"),Raw_Data!K321))</f>
        <v/>
      </c>
      <c r="L310" s="33" t="str">
        <f aca="false">IF(Raw_Data!L321="","",Raw_Data!L321)</f>
        <v/>
      </c>
      <c r="M310" s="34" t="str">
        <f aca="false">IF(OR(B310="",K310=""),"",IFERROR(K310-B310,"CHECK"))</f>
        <v/>
      </c>
      <c r="N310" s="34" t="n">
        <f aca="false">IFERROR(INDEX(Reference_Lists!$H$13:$H$14,MATCH(G310,Reference_Lists!$G$13:$G$14,0)),"UNMATCHED")</f>
        <v>15</v>
      </c>
      <c r="O310" s="32" t="str">
        <f aca="false">IF(AND(J310="Closed",ISNUMBER(M310),ISNUMBER(N310),M310&gt;=0),M310&lt;=N310,"NOT ASSESSED")</f>
        <v>NOT ASSESSED</v>
      </c>
      <c r="P310" s="36" t="str">
        <f aca="false">Raw_Data!A321</f>
        <v>CFM-2026-0239</v>
      </c>
      <c r="Q310" s="37" t="str">
        <f aca="false">IFERROR(IF(OR($A310="",$P310=""),"MISSING ID",IF(EXACT($A310,$P310),"ALIGNED","MISMATCH")),"CHECK")</f>
        <v>ALIGNED</v>
      </c>
    </row>
    <row r="311" customFormat="false" ht="19.5" hidden="false" customHeight="true" outlineLevel="0" collapsed="false">
      <c r="A311" s="29" t="s">
        <v>435</v>
      </c>
      <c r="B311" s="30" t="n">
        <f aca="false">IF(Raw_Data!B322="","",IF(ISTEXT(Raw_Data!B322),IFERROR(DATE(VALUE(RIGHT(TRIM(Raw_Data!B322),4)),VALUE(MID(TRIM(Raw_Data!B322),4,2)),VALUE(LEFT(TRIM(Raw_Data!B322),2))),"CHECK"),Raw_Data!B322))</f>
        <v>46159</v>
      </c>
      <c r="C311" s="31" t="str">
        <f aca="false">IFERROR(INDEX(Reference_Lists!$C$23:$C$35,MATCH(PROPER(TRIM(Raw_Data!C322)),Reference_Lists!$B$23:$B$35,0)),"UNMATCHED")</f>
        <v>Community Focal Point</v>
      </c>
      <c r="D311" s="31" t="str">
        <f aca="false">IFERROR(INDEX(Reference_Lists!$C$36:$C$50,MATCH(PROPER(TRIM(Raw_Data!D322)),Reference_Lists!$B$36:$B$50,0)),"UNMATCHED")</f>
        <v>Gaza City</v>
      </c>
      <c r="E311" s="31" t="str">
        <f aca="false">IF(Raw_Data!E322="","",Raw_Data!E322)</f>
        <v>Health</v>
      </c>
      <c r="F311" s="31" t="str">
        <f aca="false">IF(Raw_Data!F322="","",Raw_Data!F322)</f>
        <v>Complaint</v>
      </c>
      <c r="G311" s="32" t="str">
        <f aca="false">IF(Raw_Data!G322="","",Raw_Data!G322)</f>
        <v>Non-Sensitive</v>
      </c>
      <c r="H311" s="32" t="str">
        <f aca="false">IFERROR(INDEX(Reference_Lists!$C$51:$C$57,MATCH(PROPER(TRIM(Raw_Data!H322)),Reference_Lists!$B$51:$B$57,0)),"UNMATCHED")</f>
        <v>Female</v>
      </c>
      <c r="I311" s="32" t="str">
        <f aca="false">IF(Raw_Data!I322="","",Raw_Data!I322)</f>
        <v>30-44</v>
      </c>
      <c r="J311" s="32" t="str">
        <f aca="false">IFERROR(INDEX(Reference_Lists!$C$58:$C$65,MATCH(PROPER(TRIM(Raw_Data!J322)),Reference_Lists!$B$58:$B$65,0)),"UNMATCHED")</f>
        <v>Closed</v>
      </c>
      <c r="K311" s="30" t="n">
        <f aca="false">IF(Raw_Data!K322="","",IF(ISTEXT(Raw_Data!K322),IFERROR(DATE(VALUE(RIGHT(TRIM(Raw_Data!K322),4)),VALUE(MID(TRIM(Raw_Data!K322),4,2)),VALUE(LEFT(TRIM(Raw_Data!K322),2))),"CHECK"),Raw_Data!K322))</f>
        <v>46183</v>
      </c>
      <c r="L311" s="33" t="str">
        <f aca="false">IF(Raw_Data!L322="","",Raw_Data!L322)</f>
        <v>Requesting a referral pathway for a family member with limited mobility.</v>
      </c>
      <c r="M311" s="34" t="n">
        <f aca="false">IF(OR(B311="",K311=""),"",IFERROR(K311-B311,"CHECK"))</f>
        <v>24</v>
      </c>
      <c r="N311" s="34" t="n">
        <f aca="false">IFERROR(INDEX(Reference_Lists!$H$13:$H$14,MATCH(G311,Reference_Lists!$G$13:$G$14,0)),"UNMATCHED")</f>
        <v>15</v>
      </c>
      <c r="O311" s="35" t="b">
        <f aca="false">IF(AND(J311="Closed",ISNUMBER(M311),ISNUMBER(N311),M311&gt;=0),M311&lt;=N311,"NOT ASSESSED")</f>
        <v>0</v>
      </c>
      <c r="P311" s="36" t="str">
        <f aca="false">Raw_Data!A322</f>
        <v>CFM-2026-0223</v>
      </c>
      <c r="Q311" s="37" t="str">
        <f aca="false">IFERROR(IF(OR($A311="",$P311=""),"MISSING ID",IF(EXACT($A311,$P311),"ALIGNED","MISMATCH")),"CHECK")</f>
        <v>ALIGNED</v>
      </c>
    </row>
    <row r="312" customFormat="false" ht="19.5" hidden="false" customHeight="true" outlineLevel="0" collapsed="false">
      <c r="A312" s="29" t="s">
        <v>436</v>
      </c>
      <c r="B312" s="30" t="n">
        <f aca="false">IF(Raw_Data!B323="","",IF(ISTEXT(Raw_Data!B323),IFERROR(DATE(VALUE(RIGHT(TRIM(Raw_Data!B323),4)),VALUE(MID(TRIM(Raw_Data!B323),4,2)),VALUE(LEFT(TRIM(Raw_Data!B323),2))),"CHECK"),Raw_Data!B323))</f>
        <v>46105</v>
      </c>
      <c r="C312" s="31" t="str">
        <f aca="false">IFERROR(INDEX(Reference_Lists!$C$23:$C$35,MATCH(PROPER(TRIM(Raw_Data!C323)),Reference_Lists!$B$23:$B$35,0)),"UNMATCHED")</f>
        <v>Suggestion Box</v>
      </c>
      <c r="D312" s="31" t="str">
        <f aca="false">IFERROR(INDEX(Reference_Lists!$C$36:$C$50,MATCH(PROPER(TRIM(Raw_Data!D323)),Reference_Lists!$B$36:$B$50,0)),"UNMATCHED")</f>
        <v>Jabalia</v>
      </c>
      <c r="E312" s="31" t="str">
        <f aca="false">IF(Raw_Data!E323="","",Raw_Data!E323)</f>
        <v>Nutrition</v>
      </c>
      <c r="F312" s="31" t="str">
        <f aca="false">IF(Raw_Data!F323="","",Raw_Data!F323)</f>
        <v>Appreciation</v>
      </c>
      <c r="G312" s="32" t="str">
        <f aca="false">IF(Raw_Data!G323="","",Raw_Data!G323)</f>
        <v>Non-Sensitive</v>
      </c>
      <c r="H312" s="32" t="str">
        <f aca="false">IFERROR(INDEX(Reference_Lists!$C$51:$C$57,MATCH(PROPER(TRIM(Raw_Data!H323)),Reference_Lists!$B$51:$B$57,0)),"UNMATCHED")</f>
        <v>Male</v>
      </c>
      <c r="I312" s="32" t="str">
        <f aca="false">IF(Raw_Data!I323="","",Raw_Data!I323)</f>
        <v>30-44</v>
      </c>
      <c r="J312" s="32" t="str">
        <f aca="false">IFERROR(INDEX(Reference_Lists!$C$58:$C$65,MATCH(PROPER(TRIM(Raw_Data!J323)),Reference_Lists!$B$58:$B$65,0)),"UNMATCHED")</f>
        <v>Closed</v>
      </c>
      <c r="K312" s="30" t="n">
        <f aca="false">IF(Raw_Data!K323="","",IF(ISTEXT(Raw_Data!K323),IFERROR(DATE(VALUE(RIGHT(TRIM(Raw_Data!K323),4)),VALUE(MID(TRIM(Raw_Data!K323),4,2)),VALUE(LEFT(TRIM(Raw_Data!K323),2))),"CHECK"),Raw_Data!K323))</f>
        <v>46120</v>
      </c>
      <c r="L312" s="33" t="str">
        <f aca="false">IF(Raw_Data!L323="","",Raw_Data!L323)</f>
        <v>Requesting a screening session closer to the northern shelter.</v>
      </c>
      <c r="M312" s="34" t="n">
        <f aca="false">IF(OR(B312="",K312=""),"",IFERROR(K312-B312,"CHECK"))</f>
        <v>15</v>
      </c>
      <c r="N312" s="34" t="n">
        <f aca="false">IFERROR(INDEX(Reference_Lists!$H$13:$H$14,MATCH(G312,Reference_Lists!$G$13:$G$14,0)),"UNMATCHED")</f>
        <v>15</v>
      </c>
      <c r="O312" s="35" t="b">
        <f aca="false">IF(AND(J312="Closed",ISNUMBER(M312),ISNUMBER(N312),M312&gt;=0),M312&lt;=N312,"NOT ASSESSED")</f>
        <v>1</v>
      </c>
      <c r="P312" s="36" t="str">
        <f aca="false">Raw_Data!A323</f>
        <v>CFM-2026-0334</v>
      </c>
      <c r="Q312" s="37" t="str">
        <f aca="false">IFERROR(IF(OR($A312="",$P312=""),"MISSING ID",IF(EXACT($A312,$P312),"ALIGNED","MISMATCH")),"CHECK")</f>
        <v>ALIGNED</v>
      </c>
    </row>
    <row r="313" customFormat="false" ht="19.5" hidden="false" customHeight="true" outlineLevel="0" collapsed="false">
      <c r="A313" s="29" t="s">
        <v>437</v>
      </c>
      <c r="B313" s="30" t="n">
        <f aca="false">IF(Raw_Data!B324="","",IF(ISTEXT(Raw_Data!B324),IFERROR(DATE(VALUE(RIGHT(TRIM(Raw_Data!B324),4)),VALUE(MID(TRIM(Raw_Data!B324),4,2)),VALUE(LEFT(TRIM(Raw_Data!B324),2))),"CHECK"),Raw_Data!B324))</f>
        <v>46136</v>
      </c>
      <c r="C313" s="31" t="str">
        <f aca="false">IFERROR(INDEX(Reference_Lists!$C$23:$C$35,MATCH(PROPER(TRIM(Raw_Data!C324)),Reference_Lists!$B$23:$B$35,0)),"UNMATCHED")</f>
        <v>Suggestion Box</v>
      </c>
      <c r="D313" s="31" t="str">
        <f aca="false">IFERROR(INDEX(Reference_Lists!$C$36:$C$50,MATCH(PROPER(TRIM(Raw_Data!D324)),Reference_Lists!$B$36:$B$50,0)),"UNMATCHED")</f>
        <v>Khan Yunis</v>
      </c>
      <c r="E313" s="31" t="str">
        <f aca="false">IF(Raw_Data!E324="","",Raw_Data!E324)</f>
        <v>Food Security</v>
      </c>
      <c r="F313" s="31" t="str">
        <f aca="false">IF(Raw_Data!F324="","",Raw_Data!F324)</f>
        <v>Complaint</v>
      </c>
      <c r="G313" s="32" t="str">
        <f aca="false">IF(Raw_Data!G324="","",Raw_Data!G324)</f>
        <v>Non-Sensitive</v>
      </c>
      <c r="H313" s="32" t="str">
        <f aca="false">IFERROR(INDEX(Reference_Lists!$C$51:$C$57,MATCH(PROPER(TRIM(Raw_Data!H324)),Reference_Lists!$B$51:$B$57,0)),"UNMATCHED")</f>
        <v>Male</v>
      </c>
      <c r="I313" s="32" t="str">
        <f aca="false">IF(Raw_Data!I324="","",Raw_Data!I324)</f>
        <v>18-29</v>
      </c>
      <c r="J313" s="32" t="str">
        <f aca="false">IFERROR(INDEX(Reference_Lists!$C$58:$C$65,MATCH(PROPER(TRIM(Raw_Data!J324)),Reference_Lists!$B$58:$B$65,0)),"UNMATCHED")</f>
        <v>Closed</v>
      </c>
      <c r="K313" s="30" t="n">
        <f aca="false">IF(Raw_Data!K324="","",IF(ISTEXT(Raw_Data!K324),IFERROR(DATE(VALUE(RIGHT(TRIM(Raw_Data!K324),4)),VALUE(MID(TRIM(Raw_Data!K324),4,2)),VALUE(LEFT(TRIM(Raw_Data!K324),2))),"CHECK"),Raw_Data!K324))</f>
        <v>46147</v>
      </c>
      <c r="L313" s="33" t="str">
        <f aca="false">IF(Raw_Data!L324="","",Raw_Data!L324)</f>
        <v>Asking how the beneficiary list for the next round is prepared.</v>
      </c>
      <c r="M313" s="34" t="n">
        <f aca="false">IF(OR(B313="",K313=""),"",IFERROR(K313-B313,"CHECK"))</f>
        <v>11</v>
      </c>
      <c r="N313" s="34" t="n">
        <f aca="false">IFERROR(INDEX(Reference_Lists!$H$13:$H$14,MATCH(G313,Reference_Lists!$G$13:$G$14,0)),"UNMATCHED")</f>
        <v>15</v>
      </c>
      <c r="O313" s="35" t="b">
        <f aca="false">IF(AND(J313="Closed",ISNUMBER(M313),ISNUMBER(N313),M313&gt;=0),M313&lt;=N313,"NOT ASSESSED")</f>
        <v>1</v>
      </c>
      <c r="P313" s="36" t="str">
        <f aca="false">Raw_Data!A324</f>
        <v>CFM-2026-0128</v>
      </c>
      <c r="Q313" s="37" t="str">
        <f aca="false">IFERROR(IF(OR($A313="",$P313=""),"MISSING ID",IF(EXACT($A313,$P313),"ALIGNED","MISMATCH")),"CHECK")</f>
        <v>ALIGNED</v>
      </c>
    </row>
    <row r="314" customFormat="false" ht="19.5" hidden="false" customHeight="true" outlineLevel="0" collapsed="false">
      <c r="A314" s="29" t="s">
        <v>438</v>
      </c>
      <c r="B314" s="30" t="n">
        <f aca="false">IF(Raw_Data!B325="","",IF(ISTEXT(Raw_Data!B325),IFERROR(DATE(VALUE(RIGHT(TRIM(Raw_Data!B325),4)),VALUE(MID(TRIM(Raw_Data!B325),4,2)),VALUE(LEFT(TRIM(Raw_Data!B325),2))),"CHECK"),Raw_Data!B325))</f>
        <v>46041</v>
      </c>
      <c r="C314" s="31" t="str">
        <f aca="false">IFERROR(INDEX(Reference_Lists!$C$23:$C$35,MATCH(PROPER(TRIM(Raw_Data!C325)),Reference_Lists!$B$23:$B$35,0)),"UNMATCHED")</f>
        <v>Help Desk</v>
      </c>
      <c r="D314" s="31" t="str">
        <f aca="false">IFERROR(INDEX(Reference_Lists!$C$36:$C$50,MATCH(PROPER(TRIM(Raw_Data!D325)),Reference_Lists!$B$36:$B$50,0)),"UNMATCHED")</f>
        <v>Jabalia</v>
      </c>
      <c r="E314" s="31" t="str">
        <f aca="false">IF(Raw_Data!E325="","",Raw_Data!E325)</f>
        <v>Food Security</v>
      </c>
      <c r="F314" s="31" t="str">
        <f aca="false">IF(Raw_Data!F325="","",Raw_Data!F325)</f>
        <v>Request for Information</v>
      </c>
      <c r="G314" s="32" t="str">
        <f aca="false">IF(Raw_Data!G325="","",Raw_Data!G325)</f>
        <v>Non-Sensitive</v>
      </c>
      <c r="H314" s="32" t="str">
        <f aca="false">IFERROR(INDEX(Reference_Lists!$C$51:$C$57,MATCH(PROPER(TRIM(Raw_Data!H325)),Reference_Lists!$B$51:$B$57,0)),"UNMATCHED")</f>
        <v>Female</v>
      </c>
      <c r="I314" s="32" t="str">
        <f aca="false">IF(Raw_Data!I325="","",Raw_Data!I325)</f>
        <v>18-29</v>
      </c>
      <c r="J314" s="32" t="str">
        <f aca="false">IFERROR(INDEX(Reference_Lists!$C$58:$C$65,MATCH(PROPER(TRIM(Raw_Data!J325)),Reference_Lists!$B$58:$B$65,0)),"UNMATCHED")</f>
        <v>In Progress</v>
      </c>
      <c r="K314" s="30" t="str">
        <f aca="false">IF(Raw_Data!K325="","",IF(ISTEXT(Raw_Data!K325),IFERROR(DATE(VALUE(RIGHT(TRIM(Raw_Data!K325),4)),VALUE(MID(TRIM(Raw_Data!K325),4,2)),VALUE(LEFT(TRIM(Raw_Data!K325),2))),"CHECK"),Raw_Data!K325))</f>
        <v/>
      </c>
      <c r="L314" s="33" t="str">
        <f aca="false">IF(Raw_Data!L325="","",Raw_Data!L325)</f>
        <v>Asking how the beneficiary list for the next round is prepared.</v>
      </c>
      <c r="M314" s="34" t="str">
        <f aca="false">IF(OR(B314="",K314=""),"",IFERROR(K314-B314,"CHECK"))</f>
        <v/>
      </c>
      <c r="N314" s="34" t="n">
        <f aca="false">IFERROR(INDEX(Reference_Lists!$H$13:$H$14,MATCH(G314,Reference_Lists!$G$13:$G$14,0)),"UNMATCHED")</f>
        <v>15</v>
      </c>
      <c r="O314" s="32" t="str">
        <f aca="false">IF(AND(J314="Closed",ISNUMBER(M314),ISNUMBER(N314),M314&gt;=0),M314&lt;=N314,"NOT ASSESSED")</f>
        <v>NOT ASSESSED</v>
      </c>
      <c r="P314" s="36" t="str">
        <f aca="false">Raw_Data!A325</f>
        <v>CFM-2026-0071</v>
      </c>
      <c r="Q314" s="37" t="str">
        <f aca="false">IFERROR(IF(OR($A314="",$P314=""),"MISSING ID",IF(EXACT($A314,$P314),"ALIGNED","MISMATCH")),"CHECK")</f>
        <v>ALIGNED</v>
      </c>
    </row>
    <row r="315" customFormat="false" ht="19.5" hidden="false" customHeight="true" outlineLevel="0" collapsed="false">
      <c r="A315" s="29" t="s">
        <v>439</v>
      </c>
      <c r="B315" s="30" t="n">
        <f aca="false">IF(Raw_Data!B326="","",IF(ISTEXT(Raw_Data!B326),IFERROR(DATE(VALUE(RIGHT(TRIM(Raw_Data!B326),4)),VALUE(MID(TRIM(Raw_Data!B326),4,2)),VALUE(LEFT(TRIM(Raw_Data!B326),2))),"CHECK"),Raw_Data!B326))</f>
        <v>46101</v>
      </c>
      <c r="C315" s="31" t="str">
        <f aca="false">IFERROR(INDEX(Reference_Lists!$C$23:$C$35,MATCH(PROPER(TRIM(Raw_Data!C326)),Reference_Lists!$B$23:$B$35,0)),"UNMATCHED")</f>
        <v>Suggestion Box</v>
      </c>
      <c r="D315" s="31" t="str">
        <f aca="false">IFERROR(INDEX(Reference_Lists!$C$36:$C$50,MATCH(PROPER(TRIM(Raw_Data!D326)),Reference_Lists!$B$36:$B$50,0)),"UNMATCHED")</f>
        <v>Gaza City</v>
      </c>
      <c r="E315" s="31" t="str">
        <f aca="false">IF(Raw_Data!E326="","",Raw_Data!E326)</f>
        <v>Food Security</v>
      </c>
      <c r="F315" s="31" t="str">
        <f aca="false">IF(Raw_Data!F326="","",Raw_Data!F326)</f>
        <v>Sensitive Complaint</v>
      </c>
      <c r="G315" s="32" t="str">
        <f aca="false">IF(Raw_Data!G326="","",Raw_Data!G326)</f>
        <v>Sensitive</v>
      </c>
      <c r="H315" s="32" t="str">
        <f aca="false">IFERROR(INDEX(Reference_Lists!$C$51:$C$57,MATCH(PROPER(TRIM(Raw_Data!H326)),Reference_Lists!$B$51:$B$57,0)),"UNMATCHED")</f>
        <v>Female</v>
      </c>
      <c r="I315" s="32" t="str">
        <f aca="false">IF(Raw_Data!I326="","",Raw_Data!I326)</f>
        <v>60+</v>
      </c>
      <c r="J315" s="32" t="str">
        <f aca="false">IFERROR(INDEX(Reference_Lists!$C$58:$C$65,MATCH(PROPER(TRIM(Raw_Data!J326)),Reference_Lists!$B$58:$B$65,0)),"UNMATCHED")</f>
        <v>Closed</v>
      </c>
      <c r="K315" s="30" t="str">
        <f aca="false">IF(Raw_Data!K326="","",IF(ISTEXT(Raw_Data!K326),IFERROR(DATE(VALUE(RIGHT(TRIM(Raw_Data!K326),4)),VALUE(MID(TRIM(Raw_Data!K326),4,2)),VALUE(LEFT(TRIM(Raw_Data!K326),2))),"CHECK"),Raw_Data!K326))</f>
        <v/>
      </c>
      <c r="L315" s="33" t="str">
        <f aca="false">IF(Raw_Data!L326="","",Raw_Data!L326)</f>
        <v>Sensitive case - details recorded separately by the focal point; not stored in this tracker.</v>
      </c>
      <c r="M315" s="34" t="str">
        <f aca="false">IF(OR(B315="",K315=""),"",IFERROR(K315-B315,"CHECK"))</f>
        <v/>
      </c>
      <c r="N315" s="34" t="n">
        <f aca="false">IFERROR(INDEX(Reference_Lists!$H$13:$H$14,MATCH(G315,Reference_Lists!$G$13:$G$14,0)),"UNMATCHED")</f>
        <v>3</v>
      </c>
      <c r="O315" s="32" t="str">
        <f aca="false">IF(AND(J315="Closed",ISNUMBER(M315),ISNUMBER(N315),M315&gt;=0),M315&lt;=N315,"NOT ASSESSED")</f>
        <v>NOT ASSESSED</v>
      </c>
      <c r="P315" s="36" t="str">
        <f aca="false">Raw_Data!A326</f>
        <v>CFM-2026-0085</v>
      </c>
      <c r="Q315" s="37" t="str">
        <f aca="false">IFERROR(IF(OR($A315="",$P315=""),"MISSING ID",IF(EXACT($A315,$P315),"ALIGNED","MISMATCH")),"CHECK")</f>
        <v>ALIGNED</v>
      </c>
    </row>
    <row r="316" customFormat="false" ht="19.5" hidden="false" customHeight="true" outlineLevel="0" collapsed="false">
      <c r="A316" s="29" t="s">
        <v>440</v>
      </c>
      <c r="B316" s="30" t="n">
        <f aca="false">IF(Raw_Data!B327="","",IF(ISTEXT(Raw_Data!B327),IFERROR(DATE(VALUE(RIGHT(TRIM(Raw_Data!B327),4)),VALUE(MID(TRIM(Raw_Data!B327),4,2)),VALUE(LEFT(TRIM(Raw_Data!B327),2))),"CHECK"),Raw_Data!B327))</f>
        <v>46220</v>
      </c>
      <c r="C316" s="31" t="str">
        <f aca="false">IFERROR(INDEX(Reference_Lists!$C$23:$C$35,MATCH(PROPER(TRIM(Raw_Data!C327)),Reference_Lists!$B$23:$B$35,0)),"UNMATCHED")</f>
        <v>Phone Hotline</v>
      </c>
      <c r="D316" s="31" t="str">
        <f aca="false">IFERROR(INDEX(Reference_Lists!$C$36:$C$50,MATCH(PROPER(TRIM(Raw_Data!D327)),Reference_Lists!$B$36:$B$50,0)),"UNMATCHED")</f>
        <v>Jabalia</v>
      </c>
      <c r="E316" s="31" t="str">
        <f aca="false">IF(Raw_Data!E327="","",Raw_Data!E327)</f>
        <v>Food Security</v>
      </c>
      <c r="F316" s="31" t="str">
        <f aca="false">IF(Raw_Data!F327="","",Raw_Data!F327)</f>
        <v>Request for Information</v>
      </c>
      <c r="G316" s="32" t="str">
        <f aca="false">IF(Raw_Data!G327="","",Raw_Data!G327)</f>
        <v>Non-Sensitive</v>
      </c>
      <c r="H316" s="32" t="str">
        <f aca="false">IFERROR(INDEX(Reference_Lists!$C$51:$C$57,MATCH(PROPER(TRIM(Raw_Data!H327)),Reference_Lists!$B$51:$B$57,0)),"UNMATCHED")</f>
        <v>Female</v>
      </c>
      <c r="I316" s="32" t="str">
        <f aca="false">IF(Raw_Data!I327="","",Raw_Data!I327)</f>
        <v>45-59</v>
      </c>
      <c r="J316" s="32" t="str">
        <f aca="false">IFERROR(INDEX(Reference_Lists!$C$58:$C$65,MATCH(PROPER(TRIM(Raw_Data!J327)),Reference_Lists!$B$58:$B$65,0)),"UNMATCHED")</f>
        <v>Open</v>
      </c>
      <c r="K316" s="30" t="str">
        <f aca="false">IF(Raw_Data!K327="","",IF(ISTEXT(Raw_Data!K327),IFERROR(DATE(VALUE(RIGHT(TRIM(Raw_Data!K327),4)),VALUE(MID(TRIM(Raw_Data!K327),4,2)),VALUE(LEFT(TRIM(Raw_Data!K327),2))),"CHECK"),Raw_Data!K327))</f>
        <v/>
      </c>
      <c r="L316" s="33" t="str">
        <f aca="false">IF(Raw_Data!L327="","",Raw_Data!L327)</f>
        <v>Distribution point is far and transport cost is high for our family.</v>
      </c>
      <c r="M316" s="34" t="str">
        <f aca="false">IF(OR(B316="",K316=""),"",IFERROR(K316-B316,"CHECK"))</f>
        <v/>
      </c>
      <c r="N316" s="34" t="n">
        <f aca="false">IFERROR(INDEX(Reference_Lists!$H$13:$H$14,MATCH(G316,Reference_Lists!$G$13:$G$14,0)),"UNMATCHED")</f>
        <v>15</v>
      </c>
      <c r="O316" s="32" t="str">
        <f aca="false">IF(AND(J316="Closed",ISNUMBER(M316),ISNUMBER(N316),M316&gt;=0),M316&lt;=N316,"NOT ASSESSED")</f>
        <v>NOT ASSESSED</v>
      </c>
      <c r="P316" s="36" t="str">
        <f aca="false">Raw_Data!A327</f>
        <v>CFM-2026-0436</v>
      </c>
      <c r="Q316" s="37" t="str">
        <f aca="false">IFERROR(IF(OR($A316="",$P316=""),"MISSING ID",IF(EXACT($A316,$P316),"ALIGNED","MISMATCH")),"CHECK")</f>
        <v>ALIGNED</v>
      </c>
    </row>
    <row r="317" customFormat="false" ht="19.5" hidden="false" customHeight="true" outlineLevel="0" collapsed="false">
      <c r="A317" s="29" t="s">
        <v>441</v>
      </c>
      <c r="B317" s="30" t="n">
        <f aca="false">IF(Raw_Data!B328="","",IF(ISTEXT(Raw_Data!B328),IFERROR(DATE(VALUE(RIGHT(TRIM(Raw_Data!B328),4)),VALUE(MID(TRIM(Raw_Data!B328),4,2)),VALUE(LEFT(TRIM(Raw_Data!B328),2))),"CHECK"),Raw_Data!B328))</f>
        <v>46156</v>
      </c>
      <c r="C317" s="31" t="str">
        <f aca="false">IFERROR(INDEX(Reference_Lists!$C$23:$C$35,MATCH(PROPER(TRIM(Raw_Data!C328)),Reference_Lists!$B$23:$B$35,0)),"UNMATCHED")</f>
        <v>Community Focal Point</v>
      </c>
      <c r="D317" s="31" t="str">
        <f aca="false">IFERROR(INDEX(Reference_Lists!$C$36:$C$50,MATCH(PROPER(TRIM(Raw_Data!D328)),Reference_Lists!$B$36:$B$50,0)),"UNMATCHED")</f>
        <v>Nuseirat</v>
      </c>
      <c r="E317" s="31" t="str">
        <f aca="false">IF(Raw_Data!E328="","",Raw_Data!E328)</f>
        <v>Nutrition</v>
      </c>
      <c r="F317" s="31" t="str">
        <f aca="false">IF(Raw_Data!F328="","",Raw_Data!F328)</f>
        <v>Appreciation</v>
      </c>
      <c r="G317" s="32" t="str">
        <f aca="false">IF(Raw_Data!G328="","",Raw_Data!G328)</f>
        <v>Non-Sensitive</v>
      </c>
      <c r="H317" s="32" t="str">
        <f aca="false">IFERROR(INDEX(Reference_Lists!$C$51:$C$57,MATCH(PROPER(TRIM(Raw_Data!H328)),Reference_Lists!$B$51:$B$57,0)),"UNMATCHED")</f>
        <v>Male</v>
      </c>
      <c r="I317" s="32" t="str">
        <f aca="false">IF(Raw_Data!I328="","",Raw_Data!I328)</f>
        <v>30-44</v>
      </c>
      <c r="J317" s="32" t="str">
        <f aca="false">IFERROR(INDEX(Reference_Lists!$C$58:$C$65,MATCH(PROPER(TRIM(Raw_Data!J328)),Reference_Lists!$B$58:$B$65,0)),"UNMATCHED")</f>
        <v>Closed</v>
      </c>
      <c r="K317" s="30" t="n">
        <f aca="false">IF(Raw_Data!K328="","",IF(ISTEXT(Raw_Data!K328),IFERROR(DATE(VALUE(RIGHT(TRIM(Raw_Data!K328),4)),VALUE(MID(TRIM(Raw_Data!K328),4,2)),VALUE(LEFT(TRIM(Raw_Data!K328),2))),"CHECK"),Raw_Data!K328))</f>
        <v>46177</v>
      </c>
      <c r="L317" s="33" t="str">
        <f aca="false">IF(Raw_Data!L328="","",Raw_Data!L328)</f>
        <v>Supplement was received but the guidance sheet was in English only.</v>
      </c>
      <c r="M317" s="34" t="n">
        <f aca="false">IF(OR(B317="",K317=""),"",IFERROR(K317-B317,"CHECK"))</f>
        <v>21</v>
      </c>
      <c r="N317" s="34" t="n">
        <f aca="false">IFERROR(INDEX(Reference_Lists!$H$13:$H$14,MATCH(G317,Reference_Lists!$G$13:$G$14,0)),"UNMATCHED")</f>
        <v>15</v>
      </c>
      <c r="O317" s="35" t="b">
        <f aca="false">IF(AND(J317="Closed",ISNUMBER(M317),ISNUMBER(N317),M317&gt;=0),M317&lt;=N317,"NOT ASSESSED")</f>
        <v>0</v>
      </c>
      <c r="P317" s="36" t="str">
        <f aca="false">Raw_Data!A328</f>
        <v>CFM-2026-0004</v>
      </c>
      <c r="Q317" s="37" t="str">
        <f aca="false">IFERROR(IF(OR($A317="",$P317=""),"MISSING ID",IF(EXACT($A317,$P317),"ALIGNED","MISMATCH")),"CHECK")</f>
        <v>ALIGNED</v>
      </c>
    </row>
    <row r="318" customFormat="false" ht="19.5" hidden="false" customHeight="true" outlineLevel="0" collapsed="false">
      <c r="A318" s="29" t="s">
        <v>442</v>
      </c>
      <c r="B318" s="30" t="n">
        <f aca="false">IF(Raw_Data!B329="","",IF(ISTEXT(Raw_Data!B329),IFERROR(DATE(VALUE(RIGHT(TRIM(Raw_Data!B329),4)),VALUE(MID(TRIM(Raw_Data!B329),4,2)),VALUE(LEFT(TRIM(Raw_Data!B329),2))),"CHECK"),Raw_Data!B329))</f>
        <v>46216</v>
      </c>
      <c r="C318" s="31" t="str">
        <f aca="false">IFERROR(INDEX(Reference_Lists!$C$23:$C$35,MATCH(PROPER(TRIM(Raw_Data!C329)),Reference_Lists!$B$23:$B$35,0)),"UNMATCHED")</f>
        <v>In-Person at Distribution</v>
      </c>
      <c r="D318" s="31" t="str">
        <f aca="false">IFERROR(INDEX(Reference_Lists!$C$36:$C$50,MATCH(PROPER(TRIM(Raw_Data!D329)),Reference_Lists!$B$36:$B$50,0)),"UNMATCHED")</f>
        <v>Jabalia</v>
      </c>
      <c r="E318" s="31" t="str">
        <f aca="false">IF(Raw_Data!E329="","",Raw_Data!E329)</f>
        <v>Health</v>
      </c>
      <c r="F318" s="31" t="str">
        <f aca="false">IF(Raw_Data!F329="","",Raw_Data!F329)</f>
        <v>Request for Information</v>
      </c>
      <c r="G318" s="32" t="str">
        <f aca="false">IF(Raw_Data!G329="","",Raw_Data!G329)</f>
        <v>Non-Sensitive</v>
      </c>
      <c r="H318" s="32" t="str">
        <f aca="false">IFERROR(INDEX(Reference_Lists!$C$51:$C$57,MATCH(PROPER(TRIM(Raw_Data!H329)),Reference_Lists!$B$51:$B$57,0)),"UNMATCHED")</f>
        <v>Male</v>
      </c>
      <c r="I318" s="32" t="str">
        <f aca="false">IF(Raw_Data!I329="","",Raw_Data!I329)</f>
        <v>18-29</v>
      </c>
      <c r="J318" s="32" t="str">
        <f aca="false">IFERROR(INDEX(Reference_Lists!$C$58:$C$65,MATCH(PROPER(TRIM(Raw_Data!J329)),Reference_Lists!$B$58:$B$65,0)),"UNMATCHED")</f>
        <v>Closed</v>
      </c>
      <c r="K318" s="30" t="n">
        <f aca="false">IF(Raw_Data!K329="","",IF(ISTEXT(Raw_Data!K329),IFERROR(DATE(VALUE(RIGHT(TRIM(Raw_Data!K329),4)),VALUE(MID(TRIM(Raw_Data!K329),4,2)),VALUE(LEFT(TRIM(Raw_Data!K329),2))),"CHECK"),Raw_Data!K329))</f>
        <v>46221</v>
      </c>
      <c r="L318" s="33" t="str">
        <f aca="false">IF(Raw_Data!L329="","",Raw_Data!L329)</f>
        <v>Clinic opening hours are not clear to the community.</v>
      </c>
      <c r="M318" s="34" t="n">
        <f aca="false">IF(OR(B318="",K318=""),"",IFERROR(K318-B318,"CHECK"))</f>
        <v>5</v>
      </c>
      <c r="N318" s="34" t="n">
        <f aca="false">IFERROR(INDEX(Reference_Lists!$H$13:$H$14,MATCH(G318,Reference_Lists!$G$13:$G$14,0)),"UNMATCHED")</f>
        <v>15</v>
      </c>
      <c r="O318" s="35" t="b">
        <f aca="false">IF(AND(J318="Closed",ISNUMBER(M318),ISNUMBER(N318),M318&gt;=0),M318&lt;=N318,"NOT ASSESSED")</f>
        <v>1</v>
      </c>
      <c r="P318" s="36" t="str">
        <f aca="false">Raw_Data!A329</f>
        <v>CFM-2026-0391</v>
      </c>
      <c r="Q318" s="37" t="str">
        <f aca="false">IFERROR(IF(OR($A318="",$P318=""),"MISSING ID",IF(EXACT($A318,$P318),"ALIGNED","MISMATCH")),"CHECK")</f>
        <v>ALIGNED</v>
      </c>
    </row>
    <row r="319" customFormat="false" ht="19.5" hidden="false" customHeight="true" outlineLevel="0" collapsed="false">
      <c r="A319" s="29" t="s">
        <v>443</v>
      </c>
      <c r="B319" s="30" t="n">
        <f aca="false">IF(Raw_Data!B330="","",IF(ISTEXT(Raw_Data!B330),IFERROR(DATE(VALUE(RIGHT(TRIM(Raw_Data!B330),4)),VALUE(MID(TRIM(Raw_Data!B330),4,2)),VALUE(LEFT(TRIM(Raw_Data!B330),2))),"CHECK"),Raw_Data!B330))</f>
        <v>46054</v>
      </c>
      <c r="C319" s="31" t="str">
        <f aca="false">IFERROR(INDEX(Reference_Lists!$C$23:$C$35,MATCH(PROPER(TRIM(Raw_Data!C330)),Reference_Lists!$B$23:$B$35,0)),"UNMATCHED")</f>
        <v>In-Person at Distribution</v>
      </c>
      <c r="D319" s="31" t="str">
        <f aca="false">IFERROR(INDEX(Reference_Lists!$C$36:$C$50,MATCH(PROPER(TRIM(Raw_Data!D330)),Reference_Lists!$B$36:$B$50,0)),"UNMATCHED")</f>
        <v>Nuseirat</v>
      </c>
      <c r="E319" s="31" t="str">
        <f aca="false">IF(Raw_Data!E330="","",Raw_Data!E330)</f>
        <v>Shelter</v>
      </c>
      <c r="F319" s="31" t="str">
        <f aca="false">IF(Raw_Data!F330="","",Raw_Data!F330)</f>
        <v>Complaint</v>
      </c>
      <c r="G319" s="32" t="str">
        <f aca="false">IF(Raw_Data!G330="","",Raw_Data!G330)</f>
        <v>Non-Sensitive</v>
      </c>
      <c r="H319" s="32" t="str">
        <f aca="false">IFERROR(INDEX(Reference_Lists!$C$51:$C$57,MATCH(PROPER(TRIM(Raw_Data!H330)),Reference_Lists!$B$51:$B$57,0)),"UNMATCHED")</f>
        <v>Female</v>
      </c>
      <c r="I319" s="32" t="str">
        <f aca="false">IF(Raw_Data!I330="","",Raw_Data!I330)</f>
        <v>30-44</v>
      </c>
      <c r="J319" s="32" t="str">
        <f aca="false">IFERROR(INDEX(Reference_Lists!$C$58:$C$65,MATCH(PROPER(TRIM(Raw_Data!J330)),Reference_Lists!$B$58:$B$65,0)),"UNMATCHED")</f>
        <v>Open</v>
      </c>
      <c r="K319" s="30" t="str">
        <f aca="false">IF(Raw_Data!K330="","",IF(ISTEXT(Raw_Data!K330),IFERROR(DATE(VALUE(RIGHT(TRIM(Raw_Data!K330),4)),VALUE(MID(TRIM(Raw_Data!K330),4,2)),VALUE(LEFT(TRIM(Raw_Data!K330),2))),"CHECK"),Raw_Data!K330))</f>
        <v/>
      </c>
      <c r="L319" s="33" t="str">
        <f aca="false">IF(Raw_Data!L330="","",Raw_Data!L330)</f>
        <v>Tarpaulin received is torn and does not cover the shelter area.</v>
      </c>
      <c r="M319" s="34" t="str">
        <f aca="false">IF(OR(B319="",K319=""),"",IFERROR(K319-B319,"CHECK"))</f>
        <v/>
      </c>
      <c r="N319" s="34" t="n">
        <f aca="false">IFERROR(INDEX(Reference_Lists!$H$13:$H$14,MATCH(G319,Reference_Lists!$G$13:$G$14,0)),"UNMATCHED")</f>
        <v>15</v>
      </c>
      <c r="O319" s="32" t="str">
        <f aca="false">IF(AND(J319="Closed",ISNUMBER(M319),ISNUMBER(N319),M319&gt;=0),M319&lt;=N319,"NOT ASSESSED")</f>
        <v>NOT ASSESSED</v>
      </c>
      <c r="P319" s="36" t="str">
        <f aca="false">Raw_Data!A330</f>
        <v>CFM-2026-0031</v>
      </c>
      <c r="Q319" s="37" t="str">
        <f aca="false">IFERROR(IF(OR($A319="",$P319=""),"MISSING ID",IF(EXACT($A319,$P319),"ALIGNED","MISMATCH")),"CHECK")</f>
        <v>ALIGNED</v>
      </c>
    </row>
    <row r="320" customFormat="false" ht="19.5" hidden="false" customHeight="true" outlineLevel="0" collapsed="false">
      <c r="A320" s="29" t="s">
        <v>444</v>
      </c>
      <c r="B320" s="30" t="n">
        <f aca="false">IF(Raw_Data!B331="","",IF(ISTEXT(Raw_Data!B331),IFERROR(DATE(VALUE(RIGHT(TRIM(Raw_Data!B331),4)),VALUE(MID(TRIM(Raw_Data!B331),4,2)),VALUE(LEFT(TRIM(Raw_Data!B331),2))),"CHECK"),Raw_Data!B331))</f>
        <v>46091</v>
      </c>
      <c r="C320" s="31" t="str">
        <f aca="false">IFERROR(INDEX(Reference_Lists!$C$23:$C$35,MATCH(PROPER(TRIM(Raw_Data!C331)),Reference_Lists!$B$23:$B$35,0)),"UNMATCHED")</f>
        <v>Phone Hotline</v>
      </c>
      <c r="D320" s="31" t="str">
        <f aca="false">IFERROR(INDEX(Reference_Lists!$C$36:$C$50,MATCH(PROPER(TRIM(Raw_Data!D331)),Reference_Lists!$B$36:$B$50,0)),"UNMATCHED")</f>
        <v>Nuseirat</v>
      </c>
      <c r="E320" s="31" t="str">
        <f aca="false">IF(Raw_Data!E331="","",Raw_Data!E331)</f>
        <v/>
      </c>
      <c r="F320" s="31" t="str">
        <f aca="false">IF(Raw_Data!F331="","",Raw_Data!F331)</f>
        <v>Sensitive Complaint</v>
      </c>
      <c r="G320" s="32" t="str">
        <f aca="false">IF(Raw_Data!G331="","",Raw_Data!G331)</f>
        <v>Sensitive</v>
      </c>
      <c r="H320" s="32" t="str">
        <f aca="false">IFERROR(INDEX(Reference_Lists!$C$51:$C$57,MATCH(PROPER(TRIM(Raw_Data!H331)),Reference_Lists!$B$51:$B$57,0)),"UNMATCHED")</f>
        <v>Female</v>
      </c>
      <c r="I320" s="32" t="str">
        <f aca="false">IF(Raw_Data!I331="","",Raw_Data!I331)</f>
        <v>30-44</v>
      </c>
      <c r="J320" s="32" t="str">
        <f aca="false">IFERROR(INDEX(Reference_Lists!$C$58:$C$65,MATCH(PROPER(TRIM(Raw_Data!J331)),Reference_Lists!$B$58:$B$65,0)),"UNMATCHED")</f>
        <v>Referred</v>
      </c>
      <c r="K320" s="30" t="str">
        <f aca="false">IF(Raw_Data!K331="","",IF(ISTEXT(Raw_Data!K331),IFERROR(DATE(VALUE(RIGHT(TRIM(Raw_Data!K331),4)),VALUE(MID(TRIM(Raw_Data!K331),4,2)),VALUE(LEFT(TRIM(Raw_Data!K331),2))),"CHECK"),Raw_Data!K331))</f>
        <v/>
      </c>
      <c r="L320" s="33" t="str">
        <f aca="false">IF(Raw_Data!L331="","",Raw_Data!L331)</f>
        <v>Sensitive case - details recorded separately by the focal point; not stored in this tracker.</v>
      </c>
      <c r="M320" s="34" t="str">
        <f aca="false">IF(OR(B320="",K320=""),"",IFERROR(K320-B320,"CHECK"))</f>
        <v/>
      </c>
      <c r="N320" s="34" t="n">
        <f aca="false">IFERROR(INDEX(Reference_Lists!$H$13:$H$14,MATCH(G320,Reference_Lists!$G$13:$G$14,0)),"UNMATCHED")</f>
        <v>3</v>
      </c>
      <c r="O320" s="32" t="str">
        <f aca="false">IF(AND(J320="Closed",ISNUMBER(M320),ISNUMBER(N320),M320&gt;=0),M320&lt;=N320,"NOT ASSESSED")</f>
        <v>NOT ASSESSED</v>
      </c>
      <c r="P320" s="36" t="str">
        <f aca="false">Raw_Data!A331</f>
        <v>CFM-2026-0336</v>
      </c>
      <c r="Q320" s="37" t="str">
        <f aca="false">IFERROR(IF(OR($A320="",$P320=""),"MISSING ID",IF(EXACT($A320,$P320),"ALIGNED","MISMATCH")),"CHECK")</f>
        <v>ALIGNED</v>
      </c>
    </row>
    <row r="321" customFormat="false" ht="19.5" hidden="false" customHeight="true" outlineLevel="0" collapsed="false">
      <c r="A321" s="29" t="s">
        <v>445</v>
      </c>
      <c r="B321" s="30" t="n">
        <f aca="false">IF(Raw_Data!B332="","",IF(ISTEXT(Raw_Data!B332),IFERROR(DATE(VALUE(RIGHT(TRIM(Raw_Data!B332),4)),VALUE(MID(TRIM(Raw_Data!B332),4,2)),VALUE(LEFT(TRIM(Raw_Data!B332),2))),"CHECK"),Raw_Data!B332))</f>
        <v>46160</v>
      </c>
      <c r="C321" s="31" t="str">
        <f aca="false">IFERROR(INDEX(Reference_Lists!$C$23:$C$35,MATCH(PROPER(TRIM(Raw_Data!C332)),Reference_Lists!$B$23:$B$35,0)),"UNMATCHED")</f>
        <v>Community Focal Point</v>
      </c>
      <c r="D321" s="31" t="str">
        <f aca="false">IFERROR(INDEX(Reference_Lists!$C$36:$C$50,MATCH(PROPER(TRIM(Raw_Data!D332)),Reference_Lists!$B$36:$B$50,0)),"UNMATCHED")</f>
        <v>Deir al-Balah</v>
      </c>
      <c r="E321" s="31" t="str">
        <f aca="false">IF(Raw_Data!E332="","",Raw_Data!E332)</f>
        <v>Food Security</v>
      </c>
      <c r="F321" s="31" t="str">
        <f aca="false">IF(Raw_Data!F332="","",Raw_Data!F332)</f>
        <v>Appreciation</v>
      </c>
      <c r="G321" s="32" t="str">
        <f aca="false">IF(Raw_Data!G332="","",Raw_Data!G332)</f>
        <v>Non-Sensitive</v>
      </c>
      <c r="H321" s="32" t="str">
        <f aca="false">IFERROR(INDEX(Reference_Lists!$C$51:$C$57,MATCH(PROPER(TRIM(Raw_Data!H332)),Reference_Lists!$B$51:$B$57,0)),"UNMATCHED")</f>
        <v>Male</v>
      </c>
      <c r="I321" s="32" t="str">
        <f aca="false">IF(Raw_Data!I332="","",Raw_Data!I332)</f>
        <v>60+</v>
      </c>
      <c r="J321" s="32" t="str">
        <f aca="false">IFERROR(INDEX(Reference_Lists!$C$58:$C$65,MATCH(PROPER(TRIM(Raw_Data!J332)),Reference_Lists!$B$58:$B$65,0)),"UNMATCHED")</f>
        <v>Closed</v>
      </c>
      <c r="K321" s="30" t="n">
        <f aca="false">IF(Raw_Data!K332="","",IF(ISTEXT(Raw_Data!K332),IFERROR(DATE(VALUE(RIGHT(TRIM(Raw_Data!K332),4)),VALUE(MID(TRIM(Raw_Data!K332),4,2)),VALUE(LEFT(TRIM(Raw_Data!K332),2))),"CHECK"),Raw_Data!K332))</f>
        <v>46168</v>
      </c>
      <c r="L321" s="33" t="str">
        <f aca="false">IF(Raw_Data!L332="","",Raw_Data!L332)</f>
        <v>Asking how the beneficiary list for the next round is prepared.</v>
      </c>
      <c r="M321" s="34" t="n">
        <f aca="false">IF(OR(B321="",K321=""),"",IFERROR(K321-B321,"CHECK"))</f>
        <v>8</v>
      </c>
      <c r="N321" s="34" t="n">
        <f aca="false">IFERROR(INDEX(Reference_Lists!$H$13:$H$14,MATCH(G321,Reference_Lists!$G$13:$G$14,0)),"UNMATCHED")</f>
        <v>15</v>
      </c>
      <c r="O321" s="35" t="b">
        <f aca="false">IF(AND(J321="Closed",ISNUMBER(M321),ISNUMBER(N321),M321&gt;=0),M321&lt;=N321,"NOT ASSESSED")</f>
        <v>1</v>
      </c>
      <c r="P321" s="36" t="str">
        <f aca="false">Raw_Data!A332</f>
        <v>CFM-2026-0096</v>
      </c>
      <c r="Q321" s="37" t="str">
        <f aca="false">IFERROR(IF(OR($A321="",$P321=""),"MISSING ID",IF(EXACT($A321,$P321),"ALIGNED","MISMATCH")),"CHECK")</f>
        <v>ALIGNED</v>
      </c>
    </row>
    <row r="322" customFormat="false" ht="19.5" hidden="false" customHeight="true" outlineLevel="0" collapsed="false">
      <c r="A322" s="29" t="s">
        <v>446</v>
      </c>
      <c r="B322" s="30" t="n">
        <f aca="false">IF(Raw_Data!B333="","",IF(ISTEXT(Raw_Data!B333),IFERROR(DATE(VALUE(RIGHT(TRIM(Raw_Data!B333),4)),VALUE(MID(TRIM(Raw_Data!B333),4,2)),VALUE(LEFT(TRIM(Raw_Data!B333),2))),"CHECK"),Raw_Data!B333))</f>
        <v>46151</v>
      </c>
      <c r="C322" s="31" t="str">
        <f aca="false">IFERROR(INDEX(Reference_Lists!$C$23:$C$35,MATCH(PROPER(TRIM(Raw_Data!C333)),Reference_Lists!$B$23:$B$35,0)),"UNMATCHED")</f>
        <v>In-Person at Distribution</v>
      </c>
      <c r="D322" s="31" t="str">
        <f aca="false">IFERROR(INDEX(Reference_Lists!$C$36:$C$50,MATCH(PROPER(TRIM(Raw_Data!D333)),Reference_Lists!$B$36:$B$50,0)),"UNMATCHED")</f>
        <v>Nuseirat</v>
      </c>
      <c r="E322" s="31" t="str">
        <f aca="false">IF(Raw_Data!E333="","",Raw_Data!E333)</f>
        <v>Nutrition</v>
      </c>
      <c r="F322" s="31" t="str">
        <f aca="false">IF(Raw_Data!F333="","",Raw_Data!F333)</f>
        <v>Request for Information</v>
      </c>
      <c r="G322" s="32" t="str">
        <f aca="false">IF(Raw_Data!G333="","",Raw_Data!G333)</f>
        <v>Non-Sensitive</v>
      </c>
      <c r="H322" s="32" t="str">
        <f aca="false">IFERROR(INDEX(Reference_Lists!$C$51:$C$57,MATCH(PROPER(TRIM(Raw_Data!H333)),Reference_Lists!$B$51:$B$57,0)),"UNMATCHED")</f>
        <v>Male</v>
      </c>
      <c r="I322" s="32" t="str">
        <f aca="false">IF(Raw_Data!I333="","",Raw_Data!I333)</f>
        <v>18-29</v>
      </c>
      <c r="J322" s="32" t="str">
        <f aca="false">IFERROR(INDEX(Reference_Lists!$C$58:$C$65,MATCH(PROPER(TRIM(Raw_Data!J333)),Reference_Lists!$B$58:$B$65,0)),"UNMATCHED")</f>
        <v>In Progress</v>
      </c>
      <c r="K322" s="30" t="str">
        <f aca="false">IF(Raw_Data!K333="","",IF(ISTEXT(Raw_Data!K333),IFERROR(DATE(VALUE(RIGHT(TRIM(Raw_Data!K333),4)),VALUE(MID(TRIM(Raw_Data!K333),4,2)),VALUE(LEFT(TRIM(Raw_Data!K333),2))),"CHECK"),Raw_Data!K333))</f>
        <v/>
      </c>
      <c r="L322" s="33" t="str">
        <f aca="false">IF(Raw_Data!L333="","",Raw_Data!L333)</f>
        <v>Supplement was received but the guidance sheet was in English only.</v>
      </c>
      <c r="M322" s="34" t="str">
        <f aca="false">IF(OR(B322="",K322=""),"",IFERROR(K322-B322,"CHECK"))</f>
        <v/>
      </c>
      <c r="N322" s="34" t="n">
        <f aca="false">IFERROR(INDEX(Reference_Lists!$H$13:$H$14,MATCH(G322,Reference_Lists!$G$13:$G$14,0)),"UNMATCHED")</f>
        <v>15</v>
      </c>
      <c r="O322" s="32" t="str">
        <f aca="false">IF(AND(J322="Closed",ISNUMBER(M322),ISNUMBER(N322),M322&gt;=0),M322&lt;=N322,"NOT ASSESSED")</f>
        <v>NOT ASSESSED</v>
      </c>
      <c r="P322" s="36" t="str">
        <f aca="false">Raw_Data!A333</f>
        <v>CFM-2026-0264</v>
      </c>
      <c r="Q322" s="37" t="str">
        <f aca="false">IFERROR(IF(OR($A322="",$P322=""),"MISSING ID",IF(EXACT($A322,$P322),"ALIGNED","MISMATCH")),"CHECK")</f>
        <v>ALIGNED</v>
      </c>
    </row>
    <row r="323" customFormat="false" ht="19.5" hidden="false" customHeight="true" outlineLevel="0" collapsed="false">
      <c r="A323" s="29" t="s">
        <v>447</v>
      </c>
      <c r="B323" s="30" t="n">
        <f aca="false">IF(Raw_Data!B334="","",IF(ISTEXT(Raw_Data!B334),IFERROR(DATE(VALUE(RIGHT(TRIM(Raw_Data!B334),4)),VALUE(MID(TRIM(Raw_Data!B334),4,2)),VALUE(LEFT(TRIM(Raw_Data!B334),2))),"CHECK"),Raw_Data!B334))</f>
        <v>46216</v>
      </c>
      <c r="C323" s="31" t="str">
        <f aca="false">IFERROR(INDEX(Reference_Lists!$C$23:$C$35,MATCH(PROPER(TRIM(Raw_Data!C334)),Reference_Lists!$B$23:$B$35,0)),"UNMATCHED")</f>
        <v>Community Focal Point</v>
      </c>
      <c r="D323" s="31" t="str">
        <f aca="false">IFERROR(INDEX(Reference_Lists!$C$36:$C$50,MATCH(PROPER(TRIM(Raw_Data!D334)),Reference_Lists!$B$36:$B$50,0)),"UNMATCHED")</f>
        <v>Nuseirat</v>
      </c>
      <c r="E323" s="31" t="str">
        <f aca="false">IF(Raw_Data!E334="","",Raw_Data!E334)</f>
        <v>Nutrition</v>
      </c>
      <c r="F323" s="31" t="str">
        <f aca="false">IF(Raw_Data!F334="","",Raw_Data!F334)</f>
        <v>Complaint</v>
      </c>
      <c r="G323" s="32" t="str">
        <f aca="false">IF(Raw_Data!G334="","",Raw_Data!G334)</f>
        <v>Non-Sensitive</v>
      </c>
      <c r="H323" s="32" t="str">
        <f aca="false">IFERROR(INDEX(Reference_Lists!$C$51:$C$57,MATCH(PROPER(TRIM(Raw_Data!H334)),Reference_Lists!$B$51:$B$57,0)),"UNMATCHED")</f>
        <v>Female</v>
      </c>
      <c r="I323" s="32" t="str">
        <f aca="false">IF(Raw_Data!I334="","",Raw_Data!I334)</f>
        <v>18-29</v>
      </c>
      <c r="J323" s="32" t="str">
        <f aca="false">IFERROR(INDEX(Reference_Lists!$C$58:$C$65,MATCH(PROPER(TRIM(Raw_Data!J334)),Reference_Lists!$B$58:$B$65,0)),"UNMATCHED")</f>
        <v>Referred</v>
      </c>
      <c r="K323" s="30" t="str">
        <f aca="false">IF(Raw_Data!K334="","",IF(ISTEXT(Raw_Data!K334),IFERROR(DATE(VALUE(RIGHT(TRIM(Raw_Data!K334),4)),VALUE(MID(TRIM(Raw_Data!K334),4,2)),VALUE(LEFT(TRIM(Raw_Data!K334),2))),"CHECK"),Raw_Data!K334))</f>
        <v/>
      </c>
      <c r="L323" s="33" t="str">
        <f aca="false">IF(Raw_Data!L334="","",Raw_Data!L334)</f>
        <v>Asking whether children above five are included in the screening.</v>
      </c>
      <c r="M323" s="34" t="str">
        <f aca="false">IF(OR(B323="",K323=""),"",IFERROR(K323-B323,"CHECK"))</f>
        <v/>
      </c>
      <c r="N323" s="34" t="n">
        <f aca="false">IFERROR(INDEX(Reference_Lists!$H$13:$H$14,MATCH(G323,Reference_Lists!$G$13:$G$14,0)),"UNMATCHED")</f>
        <v>15</v>
      </c>
      <c r="O323" s="32" t="str">
        <f aca="false">IF(AND(J323="Closed",ISNUMBER(M323),ISNUMBER(N323),M323&gt;=0),M323&lt;=N323,"NOT ASSESSED")</f>
        <v>NOT ASSESSED</v>
      </c>
      <c r="P323" s="36" t="str">
        <f aca="false">Raw_Data!A334</f>
        <v>CFM-2026-0392</v>
      </c>
      <c r="Q323" s="37" t="str">
        <f aca="false">IFERROR(IF(OR($A323="",$P323=""),"MISSING ID",IF(EXACT($A323,$P323),"ALIGNED","MISMATCH")),"CHECK")</f>
        <v>ALIGNED</v>
      </c>
    </row>
    <row r="324" customFormat="false" ht="19.5" hidden="false" customHeight="true" outlineLevel="0" collapsed="false">
      <c r="A324" s="29" t="s">
        <v>448</v>
      </c>
      <c r="B324" s="30" t="n">
        <f aca="false">IF(Raw_Data!B335="","",IF(ISTEXT(Raw_Data!B335),IFERROR(DATE(VALUE(RIGHT(TRIM(Raw_Data!B335),4)),VALUE(MID(TRIM(Raw_Data!B335),4,2)),VALUE(LEFT(TRIM(Raw_Data!B335),2))),"CHECK"),Raw_Data!B335))</f>
        <v>46226</v>
      </c>
      <c r="C324" s="31" t="str">
        <f aca="false">IFERROR(INDEX(Reference_Lists!$C$23:$C$35,MATCH(PROPER(TRIM(Raw_Data!C335)),Reference_Lists!$B$23:$B$35,0)),"UNMATCHED")</f>
        <v>Help Desk</v>
      </c>
      <c r="D324" s="31" t="str">
        <f aca="false">IFERROR(INDEX(Reference_Lists!$C$36:$C$50,MATCH(PROPER(TRIM(Raw_Data!D335)),Reference_Lists!$B$36:$B$50,0)),"UNMATCHED")</f>
        <v>Gaza City</v>
      </c>
      <c r="E324" s="31" t="str">
        <f aca="false">IF(Raw_Data!E335="","",Raw_Data!E335)</f>
        <v>Nutrition</v>
      </c>
      <c r="F324" s="31" t="str">
        <f aca="false">IF(Raw_Data!F335="","",Raw_Data!F335)</f>
        <v>Request for Information</v>
      </c>
      <c r="G324" s="32" t="str">
        <f aca="false">IF(Raw_Data!G335="","",Raw_Data!G335)</f>
        <v>Non-Sensitive</v>
      </c>
      <c r="H324" s="32" t="str">
        <f aca="false">IFERROR(INDEX(Reference_Lists!$C$51:$C$57,MATCH(PROPER(TRIM(Raw_Data!H335)),Reference_Lists!$B$51:$B$57,0)),"UNMATCHED")</f>
        <v>Female</v>
      </c>
      <c r="I324" s="32" t="str">
        <f aca="false">IF(Raw_Data!I335="","",Raw_Data!I335)</f>
        <v>18-29</v>
      </c>
      <c r="J324" s="32" t="str">
        <f aca="false">IFERROR(INDEX(Reference_Lists!$C$58:$C$65,MATCH(PROPER(TRIM(Raw_Data!J335)),Reference_Lists!$B$58:$B$65,0)),"UNMATCHED")</f>
        <v>Closed</v>
      </c>
      <c r="K324" s="30" t="n">
        <f aca="false">IF(Raw_Data!K335="","",IF(ISTEXT(Raw_Data!K335),IFERROR(DATE(VALUE(RIGHT(TRIM(Raw_Data!K335),4)),VALUE(MID(TRIM(Raw_Data!K335),4,2)),VALUE(LEFT(TRIM(Raw_Data!K335),2))),"CHECK"),Raw_Data!K335))</f>
        <v>46243</v>
      </c>
      <c r="L324" s="33" t="str">
        <f aca="false">IF(Raw_Data!L335="","",Raw_Data!L335)</f>
        <v>Asking whether children above five are included in the screening.</v>
      </c>
      <c r="M324" s="34" t="n">
        <f aca="false">IF(OR(B324="",K324=""),"",IFERROR(K324-B324,"CHECK"))</f>
        <v>17</v>
      </c>
      <c r="N324" s="34" t="n">
        <f aca="false">IFERROR(INDEX(Reference_Lists!$H$13:$H$14,MATCH(G324,Reference_Lists!$G$13:$G$14,0)),"UNMATCHED")</f>
        <v>15</v>
      </c>
      <c r="O324" s="35" t="b">
        <f aca="false">IF(AND(J324="Closed",ISNUMBER(M324),ISNUMBER(N324),M324&gt;=0),M324&lt;=N324,"NOT ASSESSED")</f>
        <v>0</v>
      </c>
      <c r="P324" s="36" t="str">
        <f aca="false">Raw_Data!A335</f>
        <v>CFM-2026-0192</v>
      </c>
      <c r="Q324" s="37" t="str">
        <f aca="false">IFERROR(IF(OR($A324="",$P324=""),"MISSING ID",IF(EXACT($A324,$P324),"ALIGNED","MISMATCH")),"CHECK")</f>
        <v>ALIGNED</v>
      </c>
    </row>
    <row r="325" customFormat="false" ht="19.5" hidden="false" customHeight="true" outlineLevel="0" collapsed="false">
      <c r="A325" s="29" t="s">
        <v>449</v>
      </c>
      <c r="B325" s="30" t="n">
        <f aca="false">IF(Raw_Data!B336="","",IF(ISTEXT(Raw_Data!B336),IFERROR(DATE(VALUE(RIGHT(TRIM(Raw_Data!B336),4)),VALUE(MID(TRIM(Raw_Data!B336),4,2)),VALUE(LEFT(TRIM(Raw_Data!B336),2))),"CHECK"),Raw_Data!B336))</f>
        <v>46221</v>
      </c>
      <c r="C325" s="31" t="str">
        <f aca="false">IFERROR(INDEX(Reference_Lists!$C$23:$C$35,MATCH(PROPER(TRIM(Raw_Data!C336)),Reference_Lists!$B$23:$B$35,0)),"UNMATCHED")</f>
        <v>In-Person at Distribution</v>
      </c>
      <c r="D325" s="31" t="str">
        <f aca="false">IFERROR(INDEX(Reference_Lists!$C$36:$C$50,MATCH(PROPER(TRIM(Raw_Data!D336)),Reference_Lists!$B$36:$B$50,0)),"UNMATCHED")</f>
        <v>Rafah</v>
      </c>
      <c r="E325" s="31" t="str">
        <f aca="false">IF(Raw_Data!E336="","",Raw_Data!E336)</f>
        <v/>
      </c>
      <c r="F325" s="31" t="str">
        <f aca="false">IF(Raw_Data!F336="","",Raw_Data!F336)</f>
        <v>Complaint</v>
      </c>
      <c r="G325" s="32" t="str">
        <f aca="false">IF(Raw_Data!G336="","",Raw_Data!G336)</f>
        <v>Non-Sensitive</v>
      </c>
      <c r="H325" s="32" t="str">
        <f aca="false">IFERROR(INDEX(Reference_Lists!$C$51:$C$57,MATCH(PROPER(TRIM(Raw_Data!H336)),Reference_Lists!$B$51:$B$57,0)),"UNMATCHED")</f>
        <v>Male</v>
      </c>
      <c r="I325" s="32" t="str">
        <f aca="false">IF(Raw_Data!I336="","",Raw_Data!I336)</f>
        <v>30-44</v>
      </c>
      <c r="J325" s="32" t="str">
        <f aca="false">IFERROR(INDEX(Reference_Lists!$C$58:$C$65,MATCH(PROPER(TRIM(Raw_Data!J336)),Reference_Lists!$B$58:$B$65,0)),"UNMATCHED")</f>
        <v>Referred</v>
      </c>
      <c r="K325" s="30" t="str">
        <f aca="false">IF(Raw_Data!K336="","",IF(ISTEXT(Raw_Data!K336),IFERROR(DATE(VALUE(RIGHT(TRIM(Raw_Data!K336),4)),VALUE(MID(TRIM(Raw_Data!K336),4,2)),VALUE(LEFT(TRIM(Raw_Data!K336),2))),"CHECK"),Raw_Data!K336))</f>
        <v/>
      </c>
      <c r="L325" s="33" t="str">
        <f aca="false">IF(Raw_Data!L336="","",Raw_Data!L336)</f>
        <v>Shelter kit delivered on time and the team explained the use clearly.</v>
      </c>
      <c r="M325" s="34" t="str">
        <f aca="false">IF(OR(B325="",K325=""),"",IFERROR(K325-B325,"CHECK"))</f>
        <v/>
      </c>
      <c r="N325" s="34" t="n">
        <f aca="false">IFERROR(INDEX(Reference_Lists!$H$13:$H$14,MATCH(G325,Reference_Lists!$G$13:$G$14,0)),"UNMATCHED")</f>
        <v>15</v>
      </c>
      <c r="O325" s="32" t="str">
        <f aca="false">IF(AND(J325="Closed",ISNUMBER(M325),ISNUMBER(N325),M325&gt;=0),M325&lt;=N325,"NOT ASSESSED")</f>
        <v>NOT ASSESSED</v>
      </c>
      <c r="P325" s="36" t="str">
        <f aca="false">Raw_Data!A336</f>
        <v>CFM-2026-0236</v>
      </c>
      <c r="Q325" s="37" t="str">
        <f aca="false">IFERROR(IF(OR($A325="",$P325=""),"MISSING ID",IF(EXACT($A325,$P325),"ALIGNED","MISMATCH")),"CHECK")</f>
        <v>ALIGNED</v>
      </c>
    </row>
    <row r="326" customFormat="false" ht="19.5" hidden="false" customHeight="true" outlineLevel="0" collapsed="false">
      <c r="A326" s="29" t="s">
        <v>450</v>
      </c>
      <c r="B326" s="30" t="n">
        <f aca="false">IF(Raw_Data!B337="","",IF(ISTEXT(Raw_Data!B337),IFERROR(DATE(VALUE(RIGHT(TRIM(Raw_Data!B337),4)),VALUE(MID(TRIM(Raw_Data!B337),4,2)),VALUE(LEFT(TRIM(Raw_Data!B337),2))),"CHECK"),Raw_Data!B337))</f>
        <v>46218</v>
      </c>
      <c r="C326" s="31" t="str">
        <f aca="false">IFERROR(INDEX(Reference_Lists!$C$23:$C$35,MATCH(PROPER(TRIM(Raw_Data!C337)),Reference_Lists!$B$23:$B$35,0)),"UNMATCHED")</f>
        <v>In-Person at Distribution</v>
      </c>
      <c r="D326" s="31" t="str">
        <f aca="false">IFERROR(INDEX(Reference_Lists!$C$36:$C$50,MATCH(PROPER(TRIM(Raw_Data!D337)),Reference_Lists!$B$36:$B$50,0)),"UNMATCHED")</f>
        <v>Gaza City</v>
      </c>
      <c r="E326" s="31" t="str">
        <f aca="false">IF(Raw_Data!E337="","",Raw_Data!E337)</f>
        <v>WASH</v>
      </c>
      <c r="F326" s="31" t="str">
        <f aca="false">IF(Raw_Data!F337="","",Raw_Data!F337)</f>
        <v>Complaint</v>
      </c>
      <c r="G326" s="32" t="str">
        <f aca="false">IF(Raw_Data!G337="","",Raw_Data!G337)</f>
        <v>Non-Sensitive</v>
      </c>
      <c r="H326" s="32" t="str">
        <f aca="false">IFERROR(INDEX(Reference_Lists!$C$51:$C$57,MATCH(PROPER(TRIM(Raw_Data!H337)),Reference_Lists!$B$51:$B$57,0)),"UNMATCHED")</f>
        <v>Female</v>
      </c>
      <c r="I326" s="32" t="str">
        <f aca="false">IF(Raw_Data!I337="","",Raw_Data!I337)</f>
        <v>30-44</v>
      </c>
      <c r="J326" s="32" t="str">
        <f aca="false">IFERROR(INDEX(Reference_Lists!$C$58:$C$65,MATCH(PROPER(TRIM(Raw_Data!J337)),Reference_Lists!$B$58:$B$65,0)),"UNMATCHED")</f>
        <v>Referred</v>
      </c>
      <c r="K326" s="30" t="str">
        <f aca="false">IF(Raw_Data!K337="","",IF(ISTEXT(Raw_Data!K337),IFERROR(DATE(VALUE(RIGHT(TRIM(Raw_Data!K337),4)),VALUE(MID(TRIM(Raw_Data!K337),4,2)),VALUE(LEFT(TRIM(Raw_Data!K337),2))),"CHECK"),Raw_Data!K337))</f>
        <v/>
      </c>
      <c r="L326" s="33" t="str">
        <f aca="false">IF(Raw_Data!L337="","",Raw_Data!L337)</f>
        <v>The queue at the water point is not organised and older people cannot wait.</v>
      </c>
      <c r="M326" s="34" t="str">
        <f aca="false">IF(OR(B326="",K326=""),"",IFERROR(K326-B326,"CHECK"))</f>
        <v/>
      </c>
      <c r="N326" s="34" t="n">
        <f aca="false">IFERROR(INDEX(Reference_Lists!$H$13:$H$14,MATCH(G326,Reference_Lists!$G$13:$G$14,0)),"UNMATCHED")</f>
        <v>15</v>
      </c>
      <c r="O326" s="32" t="str">
        <f aca="false">IF(AND(J326="Closed",ISNUMBER(M326),ISNUMBER(N326),M326&gt;=0),M326&lt;=N326,"NOT ASSESSED")</f>
        <v>NOT ASSESSED</v>
      </c>
      <c r="P326" s="36" t="str">
        <f aca="false">Raw_Data!A337</f>
        <v>CFM-2026-0164</v>
      </c>
      <c r="Q326" s="37" t="str">
        <f aca="false">IFERROR(IF(OR($A326="",$P326=""),"MISSING ID",IF(EXACT($A326,$P326),"ALIGNED","MISMATCH")),"CHECK")</f>
        <v>ALIGNED</v>
      </c>
    </row>
    <row r="327" customFormat="false" ht="19.5" hidden="false" customHeight="true" outlineLevel="0" collapsed="false">
      <c r="A327" s="29" t="s">
        <v>451</v>
      </c>
      <c r="B327" s="30" t="n">
        <f aca="false">IF(Raw_Data!B338="","",IF(ISTEXT(Raw_Data!B338),IFERROR(DATE(VALUE(RIGHT(TRIM(Raw_Data!B338),4)),VALUE(MID(TRIM(Raw_Data!B338),4,2)),VALUE(LEFT(TRIM(Raw_Data!B338),2))),"CHECK"),Raw_Data!B338))</f>
        <v>46154</v>
      </c>
      <c r="C327" s="31" t="str">
        <f aca="false">IFERROR(INDEX(Reference_Lists!$C$23:$C$35,MATCH(PROPER(TRIM(Raw_Data!C338)),Reference_Lists!$B$23:$B$35,0)),"UNMATCHED")</f>
        <v>Help Desk</v>
      </c>
      <c r="D327" s="31" t="str">
        <f aca="false">IFERROR(INDEX(Reference_Lists!$C$36:$C$50,MATCH(PROPER(TRIM(Raw_Data!D338)),Reference_Lists!$B$36:$B$50,0)),"UNMATCHED")</f>
        <v>Rafah</v>
      </c>
      <c r="E327" s="31" t="str">
        <f aca="false">IF(Raw_Data!E338="","",Raw_Data!E338)</f>
        <v>Nutrition</v>
      </c>
      <c r="F327" s="31" t="str">
        <f aca="false">IF(Raw_Data!F338="","",Raw_Data!F338)</f>
        <v>Suggestion</v>
      </c>
      <c r="G327" s="32" t="str">
        <f aca="false">IF(Raw_Data!G338="","",Raw_Data!G338)</f>
        <v>Non-Sensitive</v>
      </c>
      <c r="H327" s="32" t="str">
        <f aca="false">IFERROR(INDEX(Reference_Lists!$C$51:$C$57,MATCH(PROPER(TRIM(Raw_Data!H338)),Reference_Lists!$B$51:$B$57,0)),"UNMATCHED")</f>
        <v>Female</v>
      </c>
      <c r="I327" s="32" t="str">
        <f aca="false">IF(Raw_Data!I338="","",Raw_Data!I338)</f>
        <v>18-29</v>
      </c>
      <c r="J327" s="32" t="str">
        <f aca="false">IFERROR(INDEX(Reference_Lists!$C$58:$C$65,MATCH(PROPER(TRIM(Raw_Data!J338)),Reference_Lists!$B$58:$B$65,0)),"UNMATCHED")</f>
        <v>Referred</v>
      </c>
      <c r="K327" s="30" t="str">
        <f aca="false">IF(Raw_Data!K338="","",IF(ISTEXT(Raw_Data!K338),IFERROR(DATE(VALUE(RIGHT(TRIM(Raw_Data!K338),4)),VALUE(MID(TRIM(Raw_Data!K338),4,2)),VALUE(LEFT(TRIM(Raw_Data!K338),2))),"CHECK"),Raw_Data!K338))</f>
        <v/>
      </c>
      <c r="L327" s="33" t="str">
        <f aca="false">IF(Raw_Data!L338="","",Raw_Data!L338)</f>
        <v>Requesting a screening session closer to the northern shelter.</v>
      </c>
      <c r="M327" s="34" t="str">
        <f aca="false">IF(OR(B327="",K327=""),"",IFERROR(K327-B327,"CHECK"))</f>
        <v/>
      </c>
      <c r="N327" s="34" t="n">
        <f aca="false">IFERROR(INDEX(Reference_Lists!$H$13:$H$14,MATCH(G327,Reference_Lists!$G$13:$G$14,0)),"UNMATCHED")</f>
        <v>15</v>
      </c>
      <c r="O327" s="32" t="str">
        <f aca="false">IF(AND(J327="Closed",ISNUMBER(M327),ISNUMBER(N327),M327&gt;=0),M327&lt;=N327,"NOT ASSESSED")</f>
        <v>NOT ASSESSED</v>
      </c>
      <c r="P327" s="36" t="str">
        <f aca="false">Raw_Data!A338</f>
        <v>CFM-2026-0310</v>
      </c>
      <c r="Q327" s="37" t="str">
        <f aca="false">IFERROR(IF(OR($A327="",$P327=""),"MISSING ID",IF(EXACT($A327,$P327),"ALIGNED","MISMATCH")),"CHECK")</f>
        <v>ALIGNED</v>
      </c>
    </row>
    <row r="328" customFormat="false" ht="19.5" hidden="false" customHeight="true" outlineLevel="0" collapsed="false">
      <c r="A328" s="29" t="s">
        <v>452</v>
      </c>
      <c r="B328" s="30" t="n">
        <f aca="false">IF(Raw_Data!B339="","",IF(ISTEXT(Raw_Data!B339),IFERROR(DATE(VALUE(RIGHT(TRIM(Raw_Data!B339),4)),VALUE(MID(TRIM(Raw_Data!B339),4,2)),VALUE(LEFT(TRIM(Raw_Data!B339),2))),"CHECK"),Raw_Data!B339))</f>
        <v>46136</v>
      </c>
      <c r="C328" s="31" t="str">
        <f aca="false">IFERROR(INDEX(Reference_Lists!$C$23:$C$35,MATCH(PROPER(TRIM(Raw_Data!C339)),Reference_Lists!$B$23:$B$35,0)),"UNMATCHED")</f>
        <v>Community Focal Point</v>
      </c>
      <c r="D328" s="31" t="str">
        <f aca="false">IFERROR(INDEX(Reference_Lists!$C$36:$C$50,MATCH(PROPER(TRIM(Raw_Data!D339)),Reference_Lists!$B$36:$B$50,0)),"UNMATCHED")</f>
        <v>Rafah</v>
      </c>
      <c r="E328" s="31" t="str">
        <f aca="false">IF(Raw_Data!E339="","",Raw_Data!E339)</f>
        <v>Shelter</v>
      </c>
      <c r="F328" s="31" t="str">
        <f aca="false">IF(Raw_Data!F339="","",Raw_Data!F339)</f>
        <v>Complaint</v>
      </c>
      <c r="G328" s="32" t="str">
        <f aca="false">IF(Raw_Data!G339="","",Raw_Data!G339)</f>
        <v>Non-Sensitive</v>
      </c>
      <c r="H328" s="32" t="str">
        <f aca="false">IFERROR(INDEX(Reference_Lists!$C$51:$C$57,MATCH(PROPER(TRIM(Raw_Data!H339)),Reference_Lists!$B$51:$B$57,0)),"UNMATCHED")</f>
        <v>Female</v>
      </c>
      <c r="I328" s="32" t="str">
        <f aca="false">IF(Raw_Data!I339="","",Raw_Data!I339)</f>
        <v>30-44</v>
      </c>
      <c r="J328" s="32" t="str">
        <f aca="false">IFERROR(INDEX(Reference_Lists!$C$58:$C$65,MATCH(PROPER(TRIM(Raw_Data!J339)),Reference_Lists!$B$58:$B$65,0)),"UNMATCHED")</f>
        <v>Referred</v>
      </c>
      <c r="K328" s="30" t="str">
        <f aca="false">IF(Raw_Data!K339="","",IF(ISTEXT(Raw_Data!K339),IFERROR(DATE(VALUE(RIGHT(TRIM(Raw_Data!K339),4)),VALUE(MID(TRIM(Raw_Data!K339),4,2)),VALUE(LEFT(TRIM(Raw_Data!K339),2))),"CHECK"),Raw_Data!K339))</f>
        <v/>
      </c>
      <c r="L328" s="33" t="str">
        <f aca="false">IF(Raw_Data!L339="","",Raw_Data!L339)</f>
        <v/>
      </c>
      <c r="M328" s="34" t="str">
        <f aca="false">IF(OR(B328="",K328=""),"",IFERROR(K328-B328,"CHECK"))</f>
        <v/>
      </c>
      <c r="N328" s="34" t="n">
        <f aca="false">IFERROR(INDEX(Reference_Lists!$H$13:$H$14,MATCH(G328,Reference_Lists!$G$13:$G$14,0)),"UNMATCHED")</f>
        <v>15</v>
      </c>
      <c r="O328" s="32" t="str">
        <f aca="false">IF(AND(J328="Closed",ISNUMBER(M328),ISNUMBER(N328),M328&gt;=0),M328&lt;=N328,"NOT ASSESSED")</f>
        <v>NOT ASSESSED</v>
      </c>
      <c r="P328" s="36" t="str">
        <f aca="false">Raw_Data!A339</f>
        <v>CFM-2026-0486</v>
      </c>
      <c r="Q328" s="37" t="str">
        <f aca="false">IFERROR(IF(OR($A328="",$P328=""),"MISSING ID",IF(EXACT($A328,$P328),"ALIGNED","MISMATCH")),"CHECK")</f>
        <v>ALIGNED</v>
      </c>
    </row>
    <row r="329" customFormat="false" ht="19.5" hidden="false" customHeight="true" outlineLevel="0" collapsed="false">
      <c r="A329" s="29" t="s">
        <v>453</v>
      </c>
      <c r="B329" s="30" t="n">
        <f aca="false">IF(Raw_Data!B340="","",IF(ISTEXT(Raw_Data!B340),IFERROR(DATE(VALUE(RIGHT(TRIM(Raw_Data!B340),4)),VALUE(MID(TRIM(Raw_Data!B340),4,2)),VALUE(LEFT(TRIM(Raw_Data!B340),2))),"CHECK"),Raw_Data!B340))</f>
        <v>46076</v>
      </c>
      <c r="C329" s="31" t="str">
        <f aca="false">IFERROR(INDEX(Reference_Lists!$C$23:$C$35,MATCH(PROPER(TRIM(Raw_Data!C340)),Reference_Lists!$B$23:$B$35,0)),"UNMATCHED")</f>
        <v>Help Desk</v>
      </c>
      <c r="D329" s="31" t="str">
        <f aca="false">IFERROR(INDEX(Reference_Lists!$C$36:$C$50,MATCH(PROPER(TRIM(Raw_Data!D340)),Reference_Lists!$B$36:$B$50,0)),"UNMATCHED")</f>
        <v>Khan Yunis</v>
      </c>
      <c r="E329" s="31" t="str">
        <f aca="false">IF(Raw_Data!E340="","",Raw_Data!E340)</f>
        <v>Food Security</v>
      </c>
      <c r="F329" s="31" t="str">
        <f aca="false">IF(Raw_Data!F340="","",Raw_Data!F340)</f>
        <v>Complaint</v>
      </c>
      <c r="G329" s="32" t="str">
        <f aca="false">IF(Raw_Data!G340="","",Raw_Data!G340)</f>
        <v>Non-Sensitive</v>
      </c>
      <c r="H329" s="32" t="str">
        <f aca="false">IFERROR(INDEX(Reference_Lists!$C$51:$C$57,MATCH(PROPER(TRIM(Raw_Data!H340)),Reference_Lists!$B$51:$B$57,0)),"UNMATCHED")</f>
        <v>Male</v>
      </c>
      <c r="I329" s="32" t="str">
        <f aca="false">IF(Raw_Data!I340="","",Raw_Data!I340)</f>
        <v>Under 18</v>
      </c>
      <c r="J329" s="32" t="str">
        <f aca="false">IFERROR(INDEX(Reference_Lists!$C$58:$C$65,MATCH(PROPER(TRIM(Raw_Data!J340)),Reference_Lists!$B$58:$B$65,0)),"UNMATCHED")</f>
        <v>Closed</v>
      </c>
      <c r="K329" s="30" t="n">
        <f aca="false">IF(Raw_Data!K340="","",IF(ISTEXT(Raw_Data!K340),IFERROR(DATE(VALUE(RIGHT(TRIM(Raw_Data!K340),4)),VALUE(MID(TRIM(Raw_Data!K340),4,2)),VALUE(LEFT(TRIM(Raw_Data!K340),2))),"CHECK"),Raw_Data!K340))</f>
        <v>46094</v>
      </c>
      <c r="L329" s="33" t="str">
        <f aca="false">IF(Raw_Data!L340="","",Raw_Data!L340)</f>
        <v>Distribution point is far and transport cost is high for our family.</v>
      </c>
      <c r="M329" s="34" t="n">
        <f aca="false">IF(OR(B329="",K329=""),"",IFERROR(K329-B329,"CHECK"))</f>
        <v>18</v>
      </c>
      <c r="N329" s="34" t="n">
        <f aca="false">IFERROR(INDEX(Reference_Lists!$H$13:$H$14,MATCH(G329,Reference_Lists!$G$13:$G$14,0)),"UNMATCHED")</f>
        <v>15</v>
      </c>
      <c r="O329" s="35" t="b">
        <f aca="false">IF(AND(J329="Closed",ISNUMBER(M329),ISNUMBER(N329),M329&gt;=0),M329&lt;=N329,"NOT ASSESSED")</f>
        <v>0</v>
      </c>
      <c r="P329" s="36" t="str">
        <f aca="false">Raw_Data!A340</f>
        <v>CFM-2026-0372</v>
      </c>
      <c r="Q329" s="37" t="str">
        <f aca="false">IFERROR(IF(OR($A329="",$P329=""),"MISSING ID",IF(EXACT($A329,$P329),"ALIGNED","MISMATCH")),"CHECK")</f>
        <v>ALIGNED</v>
      </c>
    </row>
    <row r="330" customFormat="false" ht="19.5" hidden="false" customHeight="true" outlineLevel="0" collapsed="false">
      <c r="A330" s="29" t="s">
        <v>454</v>
      </c>
      <c r="B330" s="30" t="n">
        <f aca="false">IF(Raw_Data!B341="","",IF(ISTEXT(Raw_Data!B341),IFERROR(DATE(VALUE(RIGHT(TRIM(Raw_Data!B341),4)),VALUE(MID(TRIM(Raw_Data!B341),4,2)),VALUE(LEFT(TRIM(Raw_Data!B341),2))),"CHECK"),Raw_Data!B341))</f>
        <v>46146</v>
      </c>
      <c r="C330" s="31" t="str">
        <f aca="false">IFERROR(INDEX(Reference_Lists!$C$23:$C$35,MATCH(PROPER(TRIM(Raw_Data!C341)),Reference_Lists!$B$23:$B$35,0)),"UNMATCHED")</f>
        <v>Community Focal Point</v>
      </c>
      <c r="D330" s="31" t="str">
        <f aca="false">IFERROR(INDEX(Reference_Lists!$C$36:$C$50,MATCH(PROPER(TRIM(Raw_Data!D341)),Reference_Lists!$B$36:$B$50,0)),"UNMATCHED")</f>
        <v>Khan Yunis</v>
      </c>
      <c r="E330" s="31" t="str">
        <f aca="false">IF(Raw_Data!E341="","",Raw_Data!E341)</f>
        <v>WASH</v>
      </c>
      <c r="F330" s="31" t="str">
        <f aca="false">IF(Raw_Data!F341="","",Raw_Data!F341)</f>
        <v>Complaint</v>
      </c>
      <c r="G330" s="32" t="str">
        <f aca="false">IF(Raw_Data!G341="","",Raw_Data!G341)</f>
        <v>Non-Sensitive</v>
      </c>
      <c r="H330" s="32" t="str">
        <f aca="false">IFERROR(INDEX(Reference_Lists!$C$51:$C$57,MATCH(PROPER(TRIM(Raw_Data!H341)),Reference_Lists!$B$51:$B$57,0)),"UNMATCHED")</f>
        <v>Male</v>
      </c>
      <c r="I330" s="32" t="str">
        <f aca="false">IF(Raw_Data!I341="","",Raw_Data!I341)</f>
        <v>30-44</v>
      </c>
      <c r="J330" s="32" t="str">
        <f aca="false">IFERROR(INDEX(Reference_Lists!$C$58:$C$65,MATCH(PROPER(TRIM(Raw_Data!J341)),Reference_Lists!$B$58:$B$65,0)),"UNMATCHED")</f>
        <v>Closed</v>
      </c>
      <c r="K330" s="30" t="n">
        <f aca="false">IF(Raw_Data!K341="","",IF(ISTEXT(Raw_Data!K341),IFERROR(DATE(VALUE(RIGHT(TRIM(Raw_Data!K341),4)),VALUE(MID(TRIM(Raw_Data!K341),4,2)),VALUE(LEFT(TRIM(Raw_Data!K341),2))),"CHECK"),Raw_Data!K341))</f>
        <v>46149</v>
      </c>
      <c r="L330" s="33" t="str">
        <f aca="false">IF(Raw_Data!L341="","",Raw_Data!L341)</f>
        <v>Requesting additional jerrycans for a shared shelter of four families.</v>
      </c>
      <c r="M330" s="34" t="n">
        <f aca="false">IF(OR(B330="",K330=""),"",IFERROR(K330-B330,"CHECK"))</f>
        <v>3</v>
      </c>
      <c r="N330" s="34" t="n">
        <f aca="false">IFERROR(INDEX(Reference_Lists!$H$13:$H$14,MATCH(G330,Reference_Lists!$G$13:$G$14,0)),"UNMATCHED")</f>
        <v>15</v>
      </c>
      <c r="O330" s="35" t="b">
        <f aca="false">IF(AND(J330="Closed",ISNUMBER(M330),ISNUMBER(N330),M330&gt;=0),M330&lt;=N330,"NOT ASSESSED")</f>
        <v>1</v>
      </c>
      <c r="P330" s="36" t="str">
        <f aca="false">Raw_Data!A341</f>
        <v>CFM-2026-0235</v>
      </c>
      <c r="Q330" s="37" t="str">
        <f aca="false">IFERROR(IF(OR($A330="",$P330=""),"MISSING ID",IF(EXACT($A330,$P330),"ALIGNED","MISMATCH")),"CHECK")</f>
        <v>ALIGNED</v>
      </c>
    </row>
    <row r="331" customFormat="false" ht="19.5" hidden="false" customHeight="true" outlineLevel="0" collapsed="false">
      <c r="A331" s="29" t="s">
        <v>455</v>
      </c>
      <c r="B331" s="30" t="n">
        <f aca="false">IF(Raw_Data!B342="","",IF(ISTEXT(Raw_Data!B342),IFERROR(DATE(VALUE(RIGHT(TRIM(Raw_Data!B342),4)),VALUE(MID(TRIM(Raw_Data!B342),4,2)),VALUE(LEFT(TRIM(Raw_Data!B342),2))),"CHECK"),Raw_Data!B342))</f>
        <v>46167</v>
      </c>
      <c r="C331" s="31" t="str">
        <f aca="false">IFERROR(INDEX(Reference_Lists!$C$23:$C$35,MATCH(PROPER(TRIM(Raw_Data!C342)),Reference_Lists!$B$23:$B$35,0)),"UNMATCHED")</f>
        <v>In-Person at Distribution</v>
      </c>
      <c r="D331" s="31" t="str">
        <f aca="false">IFERROR(INDEX(Reference_Lists!$C$36:$C$50,MATCH(PROPER(TRIM(Raw_Data!D342)),Reference_Lists!$B$36:$B$50,0)),"UNMATCHED")</f>
        <v>Nuseirat</v>
      </c>
      <c r="E331" s="31" t="str">
        <f aca="false">IF(Raw_Data!E342="","",Raw_Data!E342)</f>
        <v>Nutrition</v>
      </c>
      <c r="F331" s="31" t="str">
        <f aca="false">IF(Raw_Data!F342="","",Raw_Data!F342)</f>
        <v>Sensitive Complaint</v>
      </c>
      <c r="G331" s="32" t="str">
        <f aca="false">IF(Raw_Data!G342="","",Raw_Data!G342)</f>
        <v>Sensitive</v>
      </c>
      <c r="H331" s="32" t="str">
        <f aca="false">IFERROR(INDEX(Reference_Lists!$C$51:$C$57,MATCH(PROPER(TRIM(Raw_Data!H342)),Reference_Lists!$B$51:$B$57,0)),"UNMATCHED")</f>
        <v>Female</v>
      </c>
      <c r="I331" s="32" t="str">
        <f aca="false">IF(Raw_Data!I342="","",Raw_Data!I342)</f>
        <v>60+</v>
      </c>
      <c r="J331" s="32" t="str">
        <f aca="false">IFERROR(INDEX(Reference_Lists!$C$58:$C$65,MATCH(PROPER(TRIM(Raw_Data!J342)),Reference_Lists!$B$58:$B$65,0)),"UNMATCHED")</f>
        <v>Open</v>
      </c>
      <c r="K331" s="30" t="str">
        <f aca="false">IF(Raw_Data!K342="","",IF(ISTEXT(Raw_Data!K342),IFERROR(DATE(VALUE(RIGHT(TRIM(Raw_Data!K342),4)),VALUE(MID(TRIM(Raw_Data!K342),4,2)),VALUE(LEFT(TRIM(Raw_Data!K342),2))),"CHECK"),Raw_Data!K342))</f>
        <v/>
      </c>
      <c r="L331" s="33" t="str">
        <f aca="false">IF(Raw_Data!L342="","",Raw_Data!L342)</f>
        <v>Sensitive case - details recorded separately by the focal point; not stored in this tracker.</v>
      </c>
      <c r="M331" s="34" t="str">
        <f aca="false">IF(OR(B331="",K331=""),"",IFERROR(K331-B331,"CHECK"))</f>
        <v/>
      </c>
      <c r="N331" s="34" t="n">
        <f aca="false">IFERROR(INDEX(Reference_Lists!$H$13:$H$14,MATCH(G331,Reference_Lists!$G$13:$G$14,0)),"UNMATCHED")</f>
        <v>3</v>
      </c>
      <c r="O331" s="32" t="str">
        <f aca="false">IF(AND(J331="Closed",ISNUMBER(M331),ISNUMBER(N331),M331&gt;=0),M331&lt;=N331,"NOT ASSESSED")</f>
        <v>NOT ASSESSED</v>
      </c>
      <c r="P331" s="36" t="str">
        <f aca="false">Raw_Data!A342</f>
        <v>CFM-2026-0021</v>
      </c>
      <c r="Q331" s="37" t="str">
        <f aca="false">IFERROR(IF(OR($A331="",$P331=""),"MISSING ID",IF(EXACT($A331,$P331),"ALIGNED","MISMATCH")),"CHECK")</f>
        <v>ALIGNED</v>
      </c>
    </row>
    <row r="332" customFormat="false" ht="19.5" hidden="false" customHeight="true" outlineLevel="0" collapsed="false">
      <c r="A332" s="29" t="s">
        <v>456</v>
      </c>
      <c r="B332" s="30" t="n">
        <f aca="false">IF(Raw_Data!B343="","",IF(ISTEXT(Raw_Data!B343),IFERROR(DATE(VALUE(RIGHT(TRIM(Raw_Data!B343),4)),VALUE(MID(TRIM(Raw_Data!B343),4,2)),VALUE(LEFT(TRIM(Raw_Data!B343),2))),"CHECK"),Raw_Data!B343))</f>
        <v>46075</v>
      </c>
      <c r="C332" s="31" t="str">
        <f aca="false">IFERROR(INDEX(Reference_Lists!$C$23:$C$35,MATCH(PROPER(TRIM(Raw_Data!C343)),Reference_Lists!$B$23:$B$35,0)),"UNMATCHED")</f>
        <v>Help Desk</v>
      </c>
      <c r="D332" s="31" t="str">
        <f aca="false">IFERROR(INDEX(Reference_Lists!$C$36:$C$50,MATCH(PROPER(TRIM(Raw_Data!D343)),Reference_Lists!$B$36:$B$50,0)),"UNMATCHED")</f>
        <v>Rafah</v>
      </c>
      <c r="E332" s="31" t="str">
        <f aca="false">IF(Raw_Data!E343="","",Raw_Data!E343)</f>
        <v>WASH</v>
      </c>
      <c r="F332" s="31" t="str">
        <f aca="false">IF(Raw_Data!F343="","",Raw_Data!F343)</f>
        <v>Request for Information</v>
      </c>
      <c r="G332" s="32" t="str">
        <f aca="false">IF(Raw_Data!G343="","",Raw_Data!G343)</f>
        <v>Non-Sensitive</v>
      </c>
      <c r="H332" s="32" t="str">
        <f aca="false">IFERROR(INDEX(Reference_Lists!$C$51:$C$57,MATCH(PROPER(TRIM(Raw_Data!H343)),Reference_Lists!$B$51:$B$57,0)),"UNMATCHED")</f>
        <v>Female</v>
      </c>
      <c r="I332" s="32" t="str">
        <f aca="false">IF(Raw_Data!I343="","",Raw_Data!I343)</f>
        <v>18-29</v>
      </c>
      <c r="J332" s="32" t="str">
        <f aca="false">IFERROR(INDEX(Reference_Lists!$C$58:$C$65,MATCH(PROPER(TRIM(Raw_Data!J343)),Reference_Lists!$B$58:$B$65,0)),"UNMATCHED")</f>
        <v>Closed</v>
      </c>
      <c r="K332" s="30" t="n">
        <f aca="false">IF(Raw_Data!K343="","",IF(ISTEXT(Raw_Data!K343),IFERROR(DATE(VALUE(RIGHT(TRIM(Raw_Data!K343),4)),VALUE(MID(TRIM(Raw_Data!K343),4,2)),VALUE(LEFT(TRIM(Raw_Data!K343),2))),"CHECK"),Raw_Data!K343))</f>
        <v>46080</v>
      </c>
      <c r="L332" s="33" t="str">
        <f aca="false">IF(Raw_Data!L343="","",Raw_Data!L343)</f>
        <v>Water truck did not arrive at the agreed time for three consecutive days.</v>
      </c>
      <c r="M332" s="34" t="n">
        <f aca="false">IF(OR(B332="",K332=""),"",IFERROR(K332-B332,"CHECK"))</f>
        <v>5</v>
      </c>
      <c r="N332" s="34" t="n">
        <f aca="false">IFERROR(INDEX(Reference_Lists!$H$13:$H$14,MATCH(G332,Reference_Lists!$G$13:$G$14,0)),"UNMATCHED")</f>
        <v>15</v>
      </c>
      <c r="O332" s="35" t="b">
        <f aca="false">IF(AND(J332="Closed",ISNUMBER(M332),ISNUMBER(N332),M332&gt;=0),M332&lt;=N332,"NOT ASSESSED")</f>
        <v>1</v>
      </c>
      <c r="P332" s="36" t="str">
        <f aca="false">Raw_Data!A343</f>
        <v>CFM-2026-0200</v>
      </c>
      <c r="Q332" s="37" t="str">
        <f aca="false">IFERROR(IF(OR($A332="",$P332=""),"MISSING ID",IF(EXACT($A332,$P332),"ALIGNED","MISMATCH")),"CHECK")</f>
        <v>ALIGNED</v>
      </c>
    </row>
    <row r="333" customFormat="false" ht="19.5" hidden="false" customHeight="true" outlineLevel="0" collapsed="false">
      <c r="A333" s="29" t="s">
        <v>457</v>
      </c>
      <c r="B333" s="30" t="n">
        <f aca="false">IF(Raw_Data!B344="","",IF(ISTEXT(Raw_Data!B344),IFERROR(DATE(VALUE(RIGHT(TRIM(Raw_Data!B344),4)),VALUE(MID(TRIM(Raw_Data!B344),4,2)),VALUE(LEFT(TRIM(Raw_Data!B344),2))),"CHECK"),Raw_Data!B344))</f>
        <v>46204</v>
      </c>
      <c r="C333" s="31" t="str">
        <f aca="false">IFERROR(INDEX(Reference_Lists!$C$23:$C$35,MATCH(PROPER(TRIM(Raw_Data!C344)),Reference_Lists!$B$23:$B$35,0)),"UNMATCHED")</f>
        <v>Phone Hotline</v>
      </c>
      <c r="D333" s="31" t="str">
        <f aca="false">IFERROR(INDEX(Reference_Lists!$C$36:$C$50,MATCH(PROPER(TRIM(Raw_Data!D344)),Reference_Lists!$B$36:$B$50,0)),"UNMATCHED")</f>
        <v>Rafah</v>
      </c>
      <c r="E333" s="31" t="str">
        <f aca="false">IF(Raw_Data!E344="","",Raw_Data!E344)</f>
        <v>WASH</v>
      </c>
      <c r="F333" s="31" t="str">
        <f aca="false">IF(Raw_Data!F344="","",Raw_Data!F344)</f>
        <v>Complaint</v>
      </c>
      <c r="G333" s="32" t="str">
        <f aca="false">IF(Raw_Data!G344="","",Raw_Data!G344)</f>
        <v>Non-Sensitive</v>
      </c>
      <c r="H333" s="32" t="str">
        <f aca="false">IFERROR(INDEX(Reference_Lists!$C$51:$C$57,MATCH(PROPER(TRIM(Raw_Data!H344)),Reference_Lists!$B$51:$B$57,0)),"UNMATCHED")</f>
        <v>Prefer not to say</v>
      </c>
      <c r="I333" s="32" t="str">
        <f aca="false">IF(Raw_Data!I344="","",Raw_Data!I344)</f>
        <v>Under 18</v>
      </c>
      <c r="J333" s="32" t="str">
        <f aca="false">IFERROR(INDEX(Reference_Lists!$C$58:$C$65,MATCH(PROPER(TRIM(Raw_Data!J344)),Reference_Lists!$B$58:$B$65,0)),"UNMATCHED")</f>
        <v>Closed</v>
      </c>
      <c r="K333" s="30" t="n">
        <f aca="false">IF(Raw_Data!K344="","",IF(ISTEXT(Raw_Data!K344),IFERROR(DATE(VALUE(RIGHT(TRIM(Raw_Data!K344),4)),VALUE(MID(TRIM(Raw_Data!K344),4,2)),VALUE(LEFT(TRIM(Raw_Data!K344),2))),"CHECK"),Raw_Data!K344))</f>
        <v>46209</v>
      </c>
      <c r="L333" s="33" t="str">
        <f aca="false">IF(Raw_Data!L344="","",Raw_Data!L344)</f>
        <v>The queue at the water point is not organised and older people cannot wait.</v>
      </c>
      <c r="M333" s="34" t="n">
        <f aca="false">IF(OR(B333="",K333=""),"",IFERROR(K333-B333,"CHECK"))</f>
        <v>5</v>
      </c>
      <c r="N333" s="34" t="n">
        <f aca="false">IFERROR(INDEX(Reference_Lists!$H$13:$H$14,MATCH(G333,Reference_Lists!$G$13:$G$14,0)),"UNMATCHED")</f>
        <v>15</v>
      </c>
      <c r="O333" s="35" t="b">
        <f aca="false">IF(AND(J333="Closed",ISNUMBER(M333),ISNUMBER(N333),M333&gt;=0),M333&lt;=N333,"NOT ASSESSED")</f>
        <v>1</v>
      </c>
      <c r="P333" s="36" t="str">
        <f aca="false">Raw_Data!A344</f>
        <v>CFM-2026-0111</v>
      </c>
      <c r="Q333" s="37" t="str">
        <f aca="false">IFERROR(IF(OR($A333="",$P333=""),"MISSING ID",IF(EXACT($A333,$P333),"ALIGNED","MISMATCH")),"CHECK")</f>
        <v>ALIGNED</v>
      </c>
    </row>
    <row r="334" customFormat="false" ht="19.5" hidden="false" customHeight="true" outlineLevel="0" collapsed="false">
      <c r="A334" s="29" t="s">
        <v>458</v>
      </c>
      <c r="B334" s="30" t="n">
        <f aca="false">IF(Raw_Data!B345="","",IF(ISTEXT(Raw_Data!B345),IFERROR(DATE(VALUE(RIGHT(TRIM(Raw_Data!B345),4)),VALUE(MID(TRIM(Raw_Data!B345),4,2)),VALUE(LEFT(TRIM(Raw_Data!B345),2))),"CHECK"),Raw_Data!B345))</f>
        <v>46055</v>
      </c>
      <c r="C334" s="31" t="str">
        <f aca="false">IFERROR(INDEX(Reference_Lists!$C$23:$C$35,MATCH(PROPER(TRIM(Raw_Data!C345)),Reference_Lists!$B$23:$B$35,0)),"UNMATCHED")</f>
        <v>Community Focal Point</v>
      </c>
      <c r="D334" s="31" t="str">
        <f aca="false">IFERROR(INDEX(Reference_Lists!$C$36:$C$50,MATCH(PROPER(TRIM(Raw_Data!D345)),Reference_Lists!$B$36:$B$50,0)),"UNMATCHED")</f>
        <v>Rafah</v>
      </c>
      <c r="E334" s="31" t="str">
        <f aca="false">IF(Raw_Data!E345="","",Raw_Data!E345)</f>
        <v>Nutrition</v>
      </c>
      <c r="F334" s="31" t="str">
        <f aca="false">IF(Raw_Data!F345="","",Raw_Data!F345)</f>
        <v>Complaint</v>
      </c>
      <c r="G334" s="32" t="str">
        <f aca="false">IF(Raw_Data!G345="","",Raw_Data!G345)</f>
        <v>Non-Sensitive</v>
      </c>
      <c r="H334" s="32" t="str">
        <f aca="false">IFERROR(INDEX(Reference_Lists!$C$51:$C$57,MATCH(PROPER(TRIM(Raw_Data!H345)),Reference_Lists!$B$51:$B$57,0)),"UNMATCHED")</f>
        <v>Male</v>
      </c>
      <c r="I334" s="32" t="str">
        <f aca="false">IF(Raw_Data!I345="","",Raw_Data!I345)</f>
        <v>45-59</v>
      </c>
      <c r="J334" s="32" t="str">
        <f aca="false">IFERROR(INDEX(Reference_Lists!$C$58:$C$65,MATCH(PROPER(TRIM(Raw_Data!J345)),Reference_Lists!$B$58:$B$65,0)),"UNMATCHED")</f>
        <v>Closed</v>
      </c>
      <c r="K334" s="30" t="n">
        <f aca="false">IF(Raw_Data!K345="","",IF(ISTEXT(Raw_Data!K345),IFERROR(DATE(VALUE(RIGHT(TRIM(Raw_Data!K345),4)),VALUE(MID(TRIM(Raw_Data!K345),4,2)),VALUE(LEFT(TRIM(Raw_Data!K345),2))),"CHECK"),Raw_Data!K345))</f>
        <v>46060</v>
      </c>
      <c r="L334" s="33" t="str">
        <f aca="false">IF(Raw_Data!L345="","",Raw_Data!L345)</f>
        <v>Asking whether children above five are included in the screening.</v>
      </c>
      <c r="M334" s="34" t="n">
        <f aca="false">IF(OR(B334="",K334=""),"",IFERROR(K334-B334,"CHECK"))</f>
        <v>5</v>
      </c>
      <c r="N334" s="34" t="n">
        <f aca="false">IFERROR(INDEX(Reference_Lists!$H$13:$H$14,MATCH(G334,Reference_Lists!$G$13:$G$14,0)),"UNMATCHED")</f>
        <v>15</v>
      </c>
      <c r="O334" s="35" t="b">
        <f aca="false">IF(AND(J334="Closed",ISNUMBER(M334),ISNUMBER(N334),M334&gt;=0),M334&lt;=N334,"NOT ASSESSED")</f>
        <v>1</v>
      </c>
      <c r="P334" s="36" t="str">
        <f aca="false">Raw_Data!A345</f>
        <v>CFM-2026-0134</v>
      </c>
      <c r="Q334" s="37" t="str">
        <f aca="false">IFERROR(IF(OR($A334="",$P334=""),"MISSING ID",IF(EXACT($A334,$P334),"ALIGNED","MISMATCH")),"CHECK")</f>
        <v>ALIGNED</v>
      </c>
    </row>
    <row r="335" customFormat="false" ht="19.5" hidden="false" customHeight="true" outlineLevel="0" collapsed="false">
      <c r="A335" s="29" t="s">
        <v>459</v>
      </c>
      <c r="B335" s="30" t="n">
        <f aca="false">IF(Raw_Data!B346="","",IF(ISTEXT(Raw_Data!B346),IFERROR(DATE(VALUE(RIGHT(TRIM(Raw_Data!B346),4)),VALUE(MID(TRIM(Raw_Data!B346),4,2)),VALUE(LEFT(TRIM(Raw_Data!B346),2))),"CHECK"),Raw_Data!B346))</f>
        <v>46029</v>
      </c>
      <c r="C335" s="31" t="str">
        <f aca="false">IFERROR(INDEX(Reference_Lists!$C$23:$C$35,MATCH(PROPER(TRIM(Raw_Data!C346)),Reference_Lists!$B$23:$B$35,0)),"UNMATCHED")</f>
        <v>In-Person at Distribution</v>
      </c>
      <c r="D335" s="31" t="str">
        <f aca="false">IFERROR(INDEX(Reference_Lists!$C$36:$C$50,MATCH(PROPER(TRIM(Raw_Data!D346)),Reference_Lists!$B$36:$B$50,0)),"UNMATCHED")</f>
        <v>Khan Yunis</v>
      </c>
      <c r="E335" s="31" t="str">
        <f aca="false">IF(Raw_Data!E346="","",Raw_Data!E346)</f>
        <v>Food Security</v>
      </c>
      <c r="F335" s="31" t="str">
        <f aca="false">IF(Raw_Data!F346="","",Raw_Data!F346)</f>
        <v>Request for Information</v>
      </c>
      <c r="G335" s="32" t="str">
        <f aca="false">IF(Raw_Data!G346="","",Raw_Data!G346)</f>
        <v>Non-Sensitive</v>
      </c>
      <c r="H335" s="32" t="str">
        <f aca="false">IFERROR(INDEX(Reference_Lists!$C$51:$C$57,MATCH(PROPER(TRIM(Raw_Data!H346)),Reference_Lists!$B$51:$B$57,0)),"UNMATCHED")</f>
        <v>Female</v>
      </c>
      <c r="I335" s="32" t="str">
        <f aca="false">IF(Raw_Data!I346="","",Raw_Data!I346)</f>
        <v/>
      </c>
      <c r="J335" s="32" t="str">
        <f aca="false">IFERROR(INDEX(Reference_Lists!$C$58:$C$65,MATCH(PROPER(TRIM(Raw_Data!J346)),Reference_Lists!$B$58:$B$65,0)),"UNMATCHED")</f>
        <v>In Progress</v>
      </c>
      <c r="K335" s="30" t="str">
        <f aca="false">IF(Raw_Data!K346="","",IF(ISTEXT(Raw_Data!K346),IFERROR(DATE(VALUE(RIGHT(TRIM(Raw_Data!K346),4)),VALUE(MID(TRIM(Raw_Data!K346),4,2)),VALUE(LEFT(TRIM(Raw_Data!K346),2))),"CHECK"),Raw_Data!K346))</f>
        <v/>
      </c>
      <c r="L335" s="33" t="str">
        <f aca="false">IF(Raw_Data!L346="","",Raw_Data!L346)</f>
        <v>Thanking the team for organising the last distribution well.</v>
      </c>
      <c r="M335" s="34" t="str">
        <f aca="false">IF(OR(B335="",K335=""),"",IFERROR(K335-B335,"CHECK"))</f>
        <v/>
      </c>
      <c r="N335" s="34" t="n">
        <f aca="false">IFERROR(INDEX(Reference_Lists!$H$13:$H$14,MATCH(G335,Reference_Lists!$G$13:$G$14,0)),"UNMATCHED")</f>
        <v>15</v>
      </c>
      <c r="O335" s="32" t="str">
        <f aca="false">IF(AND(J335="Closed",ISNUMBER(M335),ISNUMBER(N335),M335&gt;=0),M335&lt;=N335,"NOT ASSESSED")</f>
        <v>NOT ASSESSED</v>
      </c>
      <c r="P335" s="36" t="str">
        <f aca="false">Raw_Data!A346</f>
        <v>CFM-2026-0301</v>
      </c>
      <c r="Q335" s="37" t="str">
        <f aca="false">IFERROR(IF(OR($A335="",$P335=""),"MISSING ID",IF(EXACT($A335,$P335),"ALIGNED","MISMATCH")),"CHECK")</f>
        <v>ALIGNED</v>
      </c>
    </row>
    <row r="336" customFormat="false" ht="19.5" hidden="false" customHeight="true" outlineLevel="0" collapsed="false">
      <c r="A336" s="29" t="s">
        <v>460</v>
      </c>
      <c r="B336" s="30" t="n">
        <f aca="false">IF(Raw_Data!B347="","",IF(ISTEXT(Raw_Data!B347),IFERROR(DATE(VALUE(RIGHT(TRIM(Raw_Data!B347),4)),VALUE(MID(TRIM(Raw_Data!B347),4,2)),VALUE(LEFT(TRIM(Raw_Data!B347),2))),"CHECK"),Raw_Data!B347))</f>
        <v>46091</v>
      </c>
      <c r="C336" s="31" t="str">
        <f aca="false">IFERROR(INDEX(Reference_Lists!$C$23:$C$35,MATCH(PROPER(TRIM(Raw_Data!C347)),Reference_Lists!$B$23:$B$35,0)),"UNMATCHED")</f>
        <v>Suggestion Box</v>
      </c>
      <c r="D336" s="31" t="str">
        <f aca="false">IFERROR(INDEX(Reference_Lists!$C$36:$C$50,MATCH(PROPER(TRIM(Raw_Data!D347)),Reference_Lists!$B$36:$B$50,0)),"UNMATCHED")</f>
        <v>Rafah</v>
      </c>
      <c r="E336" s="31" t="str">
        <f aca="false">IF(Raw_Data!E347="","",Raw_Data!E347)</f>
        <v>Food Security</v>
      </c>
      <c r="F336" s="31" t="str">
        <f aca="false">IF(Raw_Data!F347="","",Raw_Data!F347)</f>
        <v>Sensitive Complaint</v>
      </c>
      <c r="G336" s="32" t="str">
        <f aca="false">IF(Raw_Data!G347="","",Raw_Data!G347)</f>
        <v>Sensitive</v>
      </c>
      <c r="H336" s="32" t="str">
        <f aca="false">IFERROR(INDEX(Reference_Lists!$C$51:$C$57,MATCH(PROPER(TRIM(Raw_Data!H347)),Reference_Lists!$B$51:$B$57,0)),"UNMATCHED")</f>
        <v>Male</v>
      </c>
      <c r="I336" s="32" t="str">
        <f aca="false">IF(Raw_Data!I347="","",Raw_Data!I347)</f>
        <v>60+</v>
      </c>
      <c r="J336" s="32" t="str">
        <f aca="false">IFERROR(INDEX(Reference_Lists!$C$58:$C$65,MATCH(PROPER(TRIM(Raw_Data!J347)),Reference_Lists!$B$58:$B$65,0)),"UNMATCHED")</f>
        <v>Open</v>
      </c>
      <c r="K336" s="30" t="str">
        <f aca="false">IF(Raw_Data!K347="","",IF(ISTEXT(Raw_Data!K347),IFERROR(DATE(VALUE(RIGHT(TRIM(Raw_Data!K347),4)),VALUE(MID(TRIM(Raw_Data!K347),4,2)),VALUE(LEFT(TRIM(Raw_Data!K347),2))),"CHECK"),Raw_Data!K347))</f>
        <v/>
      </c>
      <c r="L336" s="33" t="str">
        <f aca="false">IF(Raw_Data!L347="","",Raw_Data!L347)</f>
        <v>Sensitive case - details recorded separately by the focal point; not stored in this tracker.</v>
      </c>
      <c r="M336" s="34" t="str">
        <f aca="false">IF(OR(B336="",K336=""),"",IFERROR(K336-B336,"CHECK"))</f>
        <v/>
      </c>
      <c r="N336" s="34" t="n">
        <f aca="false">IFERROR(INDEX(Reference_Lists!$H$13:$H$14,MATCH(G336,Reference_Lists!$G$13:$G$14,0)),"UNMATCHED")</f>
        <v>3</v>
      </c>
      <c r="O336" s="32" t="str">
        <f aca="false">IF(AND(J336="Closed",ISNUMBER(M336),ISNUMBER(N336),M336&gt;=0),M336&lt;=N336,"NOT ASSESSED")</f>
        <v>NOT ASSESSED</v>
      </c>
      <c r="P336" s="36" t="str">
        <f aca="false">Raw_Data!A347</f>
        <v>CFM-2026-0061</v>
      </c>
      <c r="Q336" s="37" t="str">
        <f aca="false">IFERROR(IF(OR($A336="",$P336=""),"MISSING ID",IF(EXACT($A336,$P336),"ALIGNED","MISMATCH")),"CHECK")</f>
        <v>ALIGNED</v>
      </c>
    </row>
    <row r="337" customFormat="false" ht="19.5" hidden="false" customHeight="true" outlineLevel="0" collapsed="false">
      <c r="A337" s="29" t="s">
        <v>461</v>
      </c>
      <c r="B337" s="30" t="n">
        <f aca="false">IF(Raw_Data!B348="","",IF(ISTEXT(Raw_Data!B348),IFERROR(DATE(VALUE(RIGHT(TRIM(Raw_Data!B348),4)),VALUE(MID(TRIM(Raw_Data!B348),4,2)),VALUE(LEFT(TRIM(Raw_Data!B348),2))),"CHECK"),Raw_Data!B348))</f>
        <v>46062</v>
      </c>
      <c r="C337" s="31" t="str">
        <f aca="false">IFERROR(INDEX(Reference_Lists!$C$23:$C$35,MATCH(PROPER(TRIM(Raw_Data!C348)),Reference_Lists!$B$23:$B$35,0)),"UNMATCHED")</f>
        <v>Phone Hotline</v>
      </c>
      <c r="D337" s="31" t="str">
        <f aca="false">IFERROR(INDEX(Reference_Lists!$C$36:$C$50,MATCH(PROPER(TRIM(Raw_Data!D348)),Reference_Lists!$B$36:$B$50,0)),"UNMATCHED")</f>
        <v>Rafah</v>
      </c>
      <c r="E337" s="31" t="str">
        <f aca="false">IF(Raw_Data!E348="","",Raw_Data!E348)</f>
        <v>Food Security</v>
      </c>
      <c r="F337" s="31" t="str">
        <f aca="false">IF(Raw_Data!F348="","",Raw_Data!F348)</f>
        <v>Request for Information</v>
      </c>
      <c r="G337" s="32" t="str">
        <f aca="false">IF(Raw_Data!G348="","",Raw_Data!G348)</f>
        <v>Non-Sensitive</v>
      </c>
      <c r="H337" s="32" t="str">
        <f aca="false">IFERROR(INDEX(Reference_Lists!$C$51:$C$57,MATCH(PROPER(TRIM(Raw_Data!H348)),Reference_Lists!$B$51:$B$57,0)),"UNMATCHED")</f>
        <v>Male</v>
      </c>
      <c r="I337" s="32" t="str">
        <f aca="false">IF(Raw_Data!I348="","",Raw_Data!I348)</f>
        <v>30-44</v>
      </c>
      <c r="J337" s="32" t="str">
        <f aca="false">IFERROR(INDEX(Reference_Lists!$C$58:$C$65,MATCH(PROPER(TRIM(Raw_Data!J348)),Reference_Lists!$B$58:$B$65,0)),"UNMATCHED")</f>
        <v>Closed</v>
      </c>
      <c r="K337" s="30" t="n">
        <f aca="false">IF(Raw_Data!K348="","",IF(ISTEXT(Raw_Data!K348),IFERROR(DATE(VALUE(RIGHT(TRIM(Raw_Data!K348),4)),VALUE(MID(TRIM(Raw_Data!K348),4,2)),VALUE(LEFT(TRIM(Raw_Data!K348),2))),"CHECK"),Raw_Data!K348))</f>
        <v>46082</v>
      </c>
      <c r="L337" s="33" t="str">
        <f aca="false">IF(Raw_Data!L348="","",Raw_Data!L348)</f>
        <v>Distribution point is far and transport cost is high for our family.</v>
      </c>
      <c r="M337" s="34" t="n">
        <f aca="false">IF(OR(B337="",K337=""),"",IFERROR(K337-B337,"CHECK"))</f>
        <v>20</v>
      </c>
      <c r="N337" s="34" t="n">
        <f aca="false">IFERROR(INDEX(Reference_Lists!$H$13:$H$14,MATCH(G337,Reference_Lists!$G$13:$G$14,0)),"UNMATCHED")</f>
        <v>15</v>
      </c>
      <c r="O337" s="35" t="b">
        <f aca="false">IF(AND(J337="Closed",ISNUMBER(M337),ISNUMBER(N337),M337&gt;=0),M337&lt;=N337,"NOT ASSESSED")</f>
        <v>0</v>
      </c>
      <c r="P337" s="36" t="str">
        <f aca="false">Raw_Data!A348</f>
        <v>CFM-2026-0279</v>
      </c>
      <c r="Q337" s="37" t="str">
        <f aca="false">IFERROR(IF(OR($A337="",$P337=""),"MISSING ID",IF(EXACT($A337,$P337),"ALIGNED","MISMATCH")),"CHECK")</f>
        <v>ALIGNED</v>
      </c>
    </row>
    <row r="338" customFormat="false" ht="19.5" hidden="false" customHeight="true" outlineLevel="0" collapsed="false">
      <c r="A338" s="29" t="s">
        <v>462</v>
      </c>
      <c r="B338" s="30" t="n">
        <f aca="false">IF(Raw_Data!B349="","",IF(ISTEXT(Raw_Data!B349),IFERROR(DATE(VALUE(RIGHT(TRIM(Raw_Data!B349),4)),VALUE(MID(TRIM(Raw_Data!B349),4,2)),VALUE(LEFT(TRIM(Raw_Data!B349),2))),"CHECK"),Raw_Data!B349))</f>
        <v>46152</v>
      </c>
      <c r="C338" s="31" t="str">
        <f aca="false">IFERROR(INDEX(Reference_Lists!$C$23:$C$35,MATCH(PROPER(TRIM(Raw_Data!C349)),Reference_Lists!$B$23:$B$35,0)),"UNMATCHED")</f>
        <v>In-Person at Distribution</v>
      </c>
      <c r="D338" s="31" t="str">
        <f aca="false">IFERROR(INDEX(Reference_Lists!$C$36:$C$50,MATCH(PROPER(TRIM(Raw_Data!D349)),Reference_Lists!$B$36:$B$50,0)),"UNMATCHED")</f>
        <v>Deir al-Balah</v>
      </c>
      <c r="E338" s="31" t="str">
        <f aca="false">IF(Raw_Data!E349="","",Raw_Data!E349)</f>
        <v>Health</v>
      </c>
      <c r="F338" s="31" t="str">
        <f aca="false">IF(Raw_Data!F349="","",Raw_Data!F349)</f>
        <v>Appreciation</v>
      </c>
      <c r="G338" s="32" t="str">
        <f aca="false">IF(Raw_Data!G349="","",Raw_Data!G349)</f>
        <v>Non-Sensitive</v>
      </c>
      <c r="H338" s="32" t="str">
        <f aca="false">IFERROR(INDEX(Reference_Lists!$C$51:$C$57,MATCH(PROPER(TRIM(Raw_Data!H349)),Reference_Lists!$B$51:$B$57,0)),"UNMATCHED")</f>
        <v>Male</v>
      </c>
      <c r="I338" s="32" t="str">
        <f aca="false">IF(Raw_Data!I349="","",Raw_Data!I349)</f>
        <v>30-44</v>
      </c>
      <c r="J338" s="32" t="str">
        <f aca="false">IFERROR(INDEX(Reference_Lists!$C$58:$C$65,MATCH(PROPER(TRIM(Raw_Data!J349)),Reference_Lists!$B$58:$B$65,0)),"UNMATCHED")</f>
        <v>Closed</v>
      </c>
      <c r="K338" s="30" t="n">
        <f aca="false">IF(Raw_Data!K349="","",IF(ISTEXT(Raw_Data!K349),IFERROR(DATE(VALUE(RIGHT(TRIM(Raw_Data!K349),4)),VALUE(MID(TRIM(Raw_Data!K349),4,2)),VALUE(LEFT(TRIM(Raw_Data!K349),2))),"CHECK"),Raw_Data!K349))</f>
        <v>46162</v>
      </c>
      <c r="L338" s="33" t="str">
        <f aca="false">IF(Raw_Data!L349="","",Raw_Data!L349)</f>
        <v>Requesting a referral pathway for a family member with limited mobility.</v>
      </c>
      <c r="M338" s="34" t="n">
        <f aca="false">IF(OR(B338="",K338=""),"",IFERROR(K338-B338,"CHECK"))</f>
        <v>10</v>
      </c>
      <c r="N338" s="34" t="n">
        <f aca="false">IFERROR(INDEX(Reference_Lists!$H$13:$H$14,MATCH(G338,Reference_Lists!$G$13:$G$14,0)),"UNMATCHED")</f>
        <v>15</v>
      </c>
      <c r="O338" s="35" t="b">
        <f aca="false">IF(AND(J338="Closed",ISNUMBER(M338),ISNUMBER(N338),M338&gt;=0),M338&lt;=N338,"NOT ASSESSED")</f>
        <v>1</v>
      </c>
      <c r="P338" s="36" t="str">
        <f aca="false">Raw_Data!A349</f>
        <v>CFM-2026-0272</v>
      </c>
      <c r="Q338" s="37" t="str">
        <f aca="false">IFERROR(IF(OR($A338="",$P338=""),"MISSING ID",IF(EXACT($A338,$P338),"ALIGNED","MISMATCH")),"CHECK")</f>
        <v>ALIGNED</v>
      </c>
    </row>
    <row r="339" customFormat="false" ht="19.5" hidden="false" customHeight="true" outlineLevel="0" collapsed="false">
      <c r="A339" s="29" t="s">
        <v>463</v>
      </c>
      <c r="B339" s="30" t="n">
        <f aca="false">IF(Raw_Data!B350="","",IF(ISTEXT(Raw_Data!B350),IFERROR(DATE(VALUE(RIGHT(TRIM(Raw_Data!B350),4)),VALUE(MID(TRIM(Raw_Data!B350),4,2)),VALUE(LEFT(TRIM(Raw_Data!B350),2))),"CHECK"),Raw_Data!B350))</f>
        <v>46090</v>
      </c>
      <c r="C339" s="31" t="str">
        <f aca="false">IFERROR(INDEX(Reference_Lists!$C$23:$C$35,MATCH(PROPER(TRIM(Raw_Data!C350)),Reference_Lists!$B$23:$B$35,0)),"UNMATCHED")</f>
        <v>Suggestion Box</v>
      </c>
      <c r="D339" s="31" t="str">
        <f aca="false">IFERROR(INDEX(Reference_Lists!$C$36:$C$50,MATCH(PROPER(TRIM(Raw_Data!D350)),Reference_Lists!$B$36:$B$50,0)),"UNMATCHED")</f>
        <v>Rafah</v>
      </c>
      <c r="E339" s="31" t="str">
        <f aca="false">IF(Raw_Data!E350="","",Raw_Data!E350)</f>
        <v>Health</v>
      </c>
      <c r="F339" s="31" t="str">
        <f aca="false">IF(Raw_Data!F350="","",Raw_Data!F350)</f>
        <v>Complaint</v>
      </c>
      <c r="G339" s="32" t="str">
        <f aca="false">IF(Raw_Data!G350="","",Raw_Data!G350)</f>
        <v>Non-Sensitive</v>
      </c>
      <c r="H339" s="32" t="str">
        <f aca="false">IFERROR(INDEX(Reference_Lists!$C$51:$C$57,MATCH(PROPER(TRIM(Raw_Data!H350)),Reference_Lists!$B$51:$B$57,0)),"UNMATCHED")</f>
        <v>Female</v>
      </c>
      <c r="I339" s="32" t="str">
        <f aca="false">IF(Raw_Data!I350="","",Raw_Data!I350)</f>
        <v>18-29</v>
      </c>
      <c r="J339" s="32" t="str">
        <f aca="false">IFERROR(INDEX(Reference_Lists!$C$58:$C$65,MATCH(PROPER(TRIM(Raw_Data!J350)),Reference_Lists!$B$58:$B$65,0)),"UNMATCHED")</f>
        <v>Referred</v>
      </c>
      <c r="K339" s="30" t="str">
        <f aca="false">IF(Raw_Data!K350="","",IF(ISTEXT(Raw_Data!K350),IFERROR(DATE(VALUE(RIGHT(TRIM(Raw_Data!K350),4)),VALUE(MID(TRIM(Raw_Data!K350),4,2)),VALUE(LEFT(TRIM(Raw_Data!K350),2))),"CHECK"),Raw_Data!K350))</f>
        <v/>
      </c>
      <c r="L339" s="33" t="str">
        <f aca="false">IF(Raw_Data!L350="","",Raw_Data!L350)</f>
        <v>Waiting time at the mobile clinic is long during afternoon hours.</v>
      </c>
      <c r="M339" s="34" t="str">
        <f aca="false">IF(OR(B339="",K339=""),"",IFERROR(K339-B339,"CHECK"))</f>
        <v/>
      </c>
      <c r="N339" s="34" t="n">
        <f aca="false">IFERROR(INDEX(Reference_Lists!$H$13:$H$14,MATCH(G339,Reference_Lists!$G$13:$G$14,0)),"UNMATCHED")</f>
        <v>15</v>
      </c>
      <c r="O339" s="32" t="str">
        <f aca="false">IF(AND(J339="Closed",ISNUMBER(M339),ISNUMBER(N339),M339&gt;=0),M339&lt;=N339,"NOT ASSESSED")</f>
        <v>NOT ASSESSED</v>
      </c>
      <c r="P339" s="36" t="str">
        <f aca="false">Raw_Data!A350</f>
        <v>CFM-2026-0088</v>
      </c>
      <c r="Q339" s="37" t="str">
        <f aca="false">IFERROR(IF(OR($A339="",$P339=""),"MISSING ID",IF(EXACT($A339,$P339),"ALIGNED","MISMATCH")),"CHECK")</f>
        <v>ALIGNED</v>
      </c>
    </row>
    <row r="340" customFormat="false" ht="19.5" hidden="false" customHeight="true" outlineLevel="0" collapsed="false">
      <c r="A340" s="29" t="s">
        <v>464</v>
      </c>
      <c r="B340" s="30" t="n">
        <f aca="false">IF(Raw_Data!B351="","",IF(ISTEXT(Raw_Data!B351),IFERROR(DATE(VALUE(RIGHT(TRIM(Raw_Data!B351),4)),VALUE(MID(TRIM(Raw_Data!B351),4,2)),VALUE(LEFT(TRIM(Raw_Data!B351),2))),"CHECK"),Raw_Data!B351))</f>
        <v>46051</v>
      </c>
      <c r="C340" s="31" t="str">
        <f aca="false">IFERROR(INDEX(Reference_Lists!$C$23:$C$35,MATCH(PROPER(TRIM(Raw_Data!C351)),Reference_Lists!$B$23:$B$35,0)),"UNMATCHED")</f>
        <v>Help Desk</v>
      </c>
      <c r="D340" s="31" t="str">
        <f aca="false">IFERROR(INDEX(Reference_Lists!$C$36:$C$50,MATCH(PROPER(TRIM(Raw_Data!D351)),Reference_Lists!$B$36:$B$50,0)),"UNMATCHED")</f>
        <v>Khan Yunis</v>
      </c>
      <c r="E340" s="31" t="str">
        <f aca="false">IF(Raw_Data!E351="","",Raw_Data!E351)</f>
        <v>Shelter</v>
      </c>
      <c r="F340" s="31" t="str">
        <f aca="false">IF(Raw_Data!F351="","",Raw_Data!F351)</f>
        <v>Suggestion</v>
      </c>
      <c r="G340" s="32" t="str">
        <f aca="false">IF(Raw_Data!G351="","",Raw_Data!G351)</f>
        <v>Non-Sensitive</v>
      </c>
      <c r="H340" s="32" t="str">
        <f aca="false">IFERROR(INDEX(Reference_Lists!$C$51:$C$57,MATCH(PROPER(TRIM(Raw_Data!H351)),Reference_Lists!$B$51:$B$57,0)),"UNMATCHED")</f>
        <v>Female</v>
      </c>
      <c r="I340" s="32" t="str">
        <f aca="false">IF(Raw_Data!I351="","",Raw_Data!I351)</f>
        <v>60+</v>
      </c>
      <c r="J340" s="32" t="str">
        <f aca="false">IFERROR(INDEX(Reference_Lists!$C$58:$C$65,MATCH(PROPER(TRIM(Raw_Data!J351)),Reference_Lists!$B$58:$B$65,0)),"UNMATCHED")</f>
        <v>Closed</v>
      </c>
      <c r="K340" s="30" t="n">
        <f aca="false">IF(Raw_Data!K351="","",IF(ISTEXT(Raw_Data!K351),IFERROR(DATE(VALUE(RIGHT(TRIM(Raw_Data!K351),4)),VALUE(MID(TRIM(Raw_Data!K351),4,2)),VALUE(LEFT(TRIM(Raw_Data!K351),2))),"CHECK"),Raw_Data!K351))</f>
        <v>46052</v>
      </c>
      <c r="L340" s="33" t="str">
        <f aca="false">IF(Raw_Data!L351="","",Raw_Data!L351)</f>
        <v>Tarpaulin received is torn and does not cover the shelter area.</v>
      </c>
      <c r="M340" s="34" t="n">
        <f aca="false">IF(OR(B340="",K340=""),"",IFERROR(K340-B340,"CHECK"))</f>
        <v>1</v>
      </c>
      <c r="N340" s="34" t="n">
        <f aca="false">IFERROR(INDEX(Reference_Lists!$H$13:$H$14,MATCH(G340,Reference_Lists!$G$13:$G$14,0)),"UNMATCHED")</f>
        <v>15</v>
      </c>
      <c r="O340" s="35" t="b">
        <f aca="false">IF(AND(J340="Closed",ISNUMBER(M340),ISNUMBER(N340),M340&gt;=0),M340&lt;=N340,"NOT ASSESSED")</f>
        <v>1</v>
      </c>
      <c r="P340" s="36" t="str">
        <f aca="false">Raw_Data!A351</f>
        <v>CFM-2026-0046</v>
      </c>
      <c r="Q340" s="37" t="str">
        <f aca="false">IFERROR(IF(OR($A340="",$P340=""),"MISSING ID",IF(EXACT($A340,$P340),"ALIGNED","MISMATCH")),"CHECK")</f>
        <v>ALIGNED</v>
      </c>
    </row>
    <row r="341" customFormat="false" ht="19.5" hidden="false" customHeight="true" outlineLevel="0" collapsed="false">
      <c r="A341" s="29" t="s">
        <v>465</v>
      </c>
      <c r="B341" s="30" t="n">
        <f aca="false">IF(Raw_Data!B352="","",IF(ISTEXT(Raw_Data!B352),IFERROR(DATE(VALUE(RIGHT(TRIM(Raw_Data!B352),4)),VALUE(MID(TRIM(Raw_Data!B352),4,2)),VALUE(LEFT(TRIM(Raw_Data!B352),2))),"CHECK"),Raw_Data!B352))</f>
        <v>46050</v>
      </c>
      <c r="C341" s="31" t="str">
        <f aca="false">IFERROR(INDEX(Reference_Lists!$C$23:$C$35,MATCH(PROPER(TRIM(Raw_Data!C352)),Reference_Lists!$B$23:$B$35,0)),"UNMATCHED")</f>
        <v>Help Desk</v>
      </c>
      <c r="D341" s="31" t="str">
        <f aca="false">IFERROR(INDEX(Reference_Lists!$C$36:$C$50,MATCH(PROPER(TRIM(Raw_Data!D352)),Reference_Lists!$B$36:$B$50,0)),"UNMATCHED")</f>
        <v>Rafah</v>
      </c>
      <c r="E341" s="31" t="str">
        <f aca="false">IF(Raw_Data!E352="","",Raw_Data!E352)</f>
        <v>WASH</v>
      </c>
      <c r="F341" s="31" t="str">
        <f aca="false">IF(Raw_Data!F352="","",Raw_Data!F352)</f>
        <v>Appreciation</v>
      </c>
      <c r="G341" s="32" t="str">
        <f aca="false">IF(Raw_Data!G352="","",Raw_Data!G352)</f>
        <v>Non-Sensitive</v>
      </c>
      <c r="H341" s="32" t="str">
        <f aca="false">IFERROR(INDEX(Reference_Lists!$C$51:$C$57,MATCH(PROPER(TRIM(Raw_Data!H352)),Reference_Lists!$B$51:$B$57,0)),"UNMATCHED")</f>
        <v>Male</v>
      </c>
      <c r="I341" s="32" t="str">
        <f aca="false">IF(Raw_Data!I352="","",Raw_Data!I352)</f>
        <v>30-44</v>
      </c>
      <c r="J341" s="32" t="str">
        <f aca="false">IFERROR(INDEX(Reference_Lists!$C$58:$C$65,MATCH(PROPER(TRIM(Raw_Data!J352)),Reference_Lists!$B$58:$B$65,0)),"UNMATCHED")</f>
        <v>Closed</v>
      </c>
      <c r="K341" s="30" t="n">
        <f aca="false">IF(Raw_Data!K352="","",IF(ISTEXT(Raw_Data!K352),IFERROR(DATE(VALUE(RIGHT(TRIM(Raw_Data!K352),4)),VALUE(MID(TRIM(Raw_Data!K352),4,2)),VALUE(LEFT(TRIM(Raw_Data!K352),2))),"CHECK"),Raw_Data!K352))</f>
        <v>46046</v>
      </c>
      <c r="L341" s="33" t="str">
        <f aca="false">IF(Raw_Data!L352="","",Raw_Data!L352)</f>
        <v>Requesting additional jerrycans for a shared shelter of four families.</v>
      </c>
      <c r="M341" s="34" t="n">
        <f aca="false">IF(OR(B341="",K341=""),"",IFERROR(K341-B341,"CHECK"))</f>
        <v>-4</v>
      </c>
      <c r="N341" s="34" t="n">
        <f aca="false">IFERROR(INDEX(Reference_Lists!$H$13:$H$14,MATCH(G341,Reference_Lists!$G$13:$G$14,0)),"UNMATCHED")</f>
        <v>15</v>
      </c>
      <c r="O341" s="32" t="str">
        <f aca="false">IF(AND(J341="Closed",ISNUMBER(M341),ISNUMBER(N341),M341&gt;=0),M341&lt;=N341,"NOT ASSESSED")</f>
        <v>NOT ASSESSED</v>
      </c>
      <c r="P341" s="36" t="str">
        <f aca="false">Raw_Data!A352</f>
        <v>CFM-2026-0444</v>
      </c>
      <c r="Q341" s="37" t="str">
        <f aca="false">IFERROR(IF(OR($A341="",$P341=""),"MISSING ID",IF(EXACT($A341,$P341),"ALIGNED","MISMATCH")),"CHECK")</f>
        <v>ALIGNED</v>
      </c>
    </row>
    <row r="342" customFormat="false" ht="19.5" hidden="false" customHeight="true" outlineLevel="0" collapsed="false">
      <c r="A342" s="29" t="s">
        <v>466</v>
      </c>
      <c r="B342" s="30" t="n">
        <f aca="false">IF(Raw_Data!B353="","",IF(ISTEXT(Raw_Data!B353),IFERROR(DATE(VALUE(RIGHT(TRIM(Raw_Data!B353),4)),VALUE(MID(TRIM(Raw_Data!B353),4,2)),VALUE(LEFT(TRIM(Raw_Data!B353),2))),"CHECK"),Raw_Data!B353))</f>
        <v>46043</v>
      </c>
      <c r="C342" s="31" t="str">
        <f aca="false">IFERROR(INDEX(Reference_Lists!$C$23:$C$35,MATCH(PROPER(TRIM(Raw_Data!C353)),Reference_Lists!$B$23:$B$35,0)),"UNMATCHED")</f>
        <v>In-Person at Distribution</v>
      </c>
      <c r="D342" s="31" t="str">
        <f aca="false">IFERROR(INDEX(Reference_Lists!$C$36:$C$50,MATCH(PROPER(TRIM(Raw_Data!D353)),Reference_Lists!$B$36:$B$50,0)),"UNMATCHED")</f>
        <v>Gaza City</v>
      </c>
      <c r="E342" s="31" t="str">
        <f aca="false">IF(Raw_Data!E353="","",Raw_Data!E353)</f>
        <v>Food Security</v>
      </c>
      <c r="F342" s="31" t="str">
        <f aca="false">IF(Raw_Data!F353="","",Raw_Data!F353)</f>
        <v>Request for Information</v>
      </c>
      <c r="G342" s="32" t="str">
        <f aca="false">IF(Raw_Data!G353="","",Raw_Data!G353)</f>
        <v>Non-Sensitive</v>
      </c>
      <c r="H342" s="32" t="str">
        <f aca="false">IFERROR(INDEX(Reference_Lists!$C$51:$C$57,MATCH(PROPER(TRIM(Raw_Data!H353)),Reference_Lists!$B$51:$B$57,0)),"UNMATCHED")</f>
        <v>Female</v>
      </c>
      <c r="I342" s="32" t="str">
        <f aca="false">IF(Raw_Data!I353="","",Raw_Data!I353)</f>
        <v>30-44</v>
      </c>
      <c r="J342" s="32" t="str">
        <f aca="false">IFERROR(INDEX(Reference_Lists!$C$58:$C$65,MATCH(PROPER(TRIM(Raw_Data!J353)),Reference_Lists!$B$58:$B$65,0)),"UNMATCHED")</f>
        <v>Closed</v>
      </c>
      <c r="K342" s="30" t="n">
        <f aca="false">IF(Raw_Data!K353="","",IF(ISTEXT(Raw_Data!K353),IFERROR(DATE(VALUE(RIGHT(TRIM(Raw_Data!K353),4)),VALUE(MID(TRIM(Raw_Data!K353),4,2)),VALUE(LEFT(TRIM(Raw_Data!K353),2))),"CHECK"),Raw_Data!K353))</f>
        <v>46060</v>
      </c>
      <c r="L342" s="33" t="str">
        <f aca="false">IF(Raw_Data!L353="","",Raw_Data!L353)</f>
        <v>Asking how the beneficiary list for the next round is prepared.</v>
      </c>
      <c r="M342" s="34" t="n">
        <f aca="false">IF(OR(B342="",K342=""),"",IFERROR(K342-B342,"CHECK"))</f>
        <v>17</v>
      </c>
      <c r="N342" s="34" t="n">
        <f aca="false">IFERROR(INDEX(Reference_Lists!$H$13:$H$14,MATCH(G342,Reference_Lists!$G$13:$G$14,0)),"UNMATCHED")</f>
        <v>15</v>
      </c>
      <c r="O342" s="35" t="b">
        <f aca="false">IF(AND(J342="Closed",ISNUMBER(M342),ISNUMBER(N342),M342&gt;=0),M342&lt;=N342,"NOT ASSESSED")</f>
        <v>0</v>
      </c>
      <c r="P342" s="36" t="str">
        <f aca="false">Raw_Data!A353</f>
        <v>CFM-2026-0093</v>
      </c>
      <c r="Q342" s="37" t="str">
        <f aca="false">IFERROR(IF(OR($A342="",$P342=""),"MISSING ID",IF(EXACT($A342,$P342),"ALIGNED","MISMATCH")),"CHECK")</f>
        <v>ALIGNED</v>
      </c>
    </row>
    <row r="343" customFormat="false" ht="19.5" hidden="false" customHeight="true" outlineLevel="0" collapsed="false">
      <c r="A343" s="29" t="s">
        <v>467</v>
      </c>
      <c r="B343" s="30" t="n">
        <f aca="false">IF(Raw_Data!B354="","",IF(ISTEXT(Raw_Data!B354),IFERROR(DATE(VALUE(RIGHT(TRIM(Raw_Data!B354),4)),VALUE(MID(TRIM(Raw_Data!B354),4,2)),VALUE(LEFT(TRIM(Raw_Data!B354),2))),"CHECK"),Raw_Data!B354))</f>
        <v>46209</v>
      </c>
      <c r="C343" s="31" t="str">
        <f aca="false">IFERROR(INDEX(Reference_Lists!$C$23:$C$35,MATCH(PROPER(TRIM(Raw_Data!C354)),Reference_Lists!$B$23:$B$35,0)),"UNMATCHED")</f>
        <v>Community Focal Point</v>
      </c>
      <c r="D343" s="31" t="str">
        <f aca="false">IFERROR(INDEX(Reference_Lists!$C$36:$C$50,MATCH(PROPER(TRIM(Raw_Data!D354)),Reference_Lists!$B$36:$B$50,0)),"UNMATCHED")</f>
        <v>Nuseirat</v>
      </c>
      <c r="E343" s="31" t="str">
        <f aca="false">IF(Raw_Data!E354="","",Raw_Data!E354)</f>
        <v>WASH</v>
      </c>
      <c r="F343" s="31" t="str">
        <f aca="false">IF(Raw_Data!F354="","",Raw_Data!F354)</f>
        <v>Complaint</v>
      </c>
      <c r="G343" s="32" t="str">
        <f aca="false">IF(Raw_Data!G354="","",Raw_Data!G354)</f>
        <v>Non-Sensitive</v>
      </c>
      <c r="H343" s="32" t="str">
        <f aca="false">IFERROR(INDEX(Reference_Lists!$C$51:$C$57,MATCH(PROPER(TRIM(Raw_Data!H354)),Reference_Lists!$B$51:$B$57,0)),"UNMATCHED")</f>
        <v>Male</v>
      </c>
      <c r="I343" s="32" t="str">
        <f aca="false">IF(Raw_Data!I354="","",Raw_Data!I354)</f>
        <v>45-59</v>
      </c>
      <c r="J343" s="32" t="str">
        <f aca="false">IFERROR(INDEX(Reference_Lists!$C$58:$C$65,MATCH(PROPER(TRIM(Raw_Data!J354)),Reference_Lists!$B$58:$B$65,0)),"UNMATCHED")</f>
        <v>Closed</v>
      </c>
      <c r="K343" s="30" t="n">
        <f aca="false">IF(Raw_Data!K354="","",IF(ISTEXT(Raw_Data!K354),IFERROR(DATE(VALUE(RIGHT(TRIM(Raw_Data!K354),4)),VALUE(MID(TRIM(Raw_Data!K354),4,2)),VALUE(LEFT(TRIM(Raw_Data!K354),2))),"CHECK"),Raw_Data!K354))</f>
        <v>46226</v>
      </c>
      <c r="L343" s="33" t="str">
        <f aca="false">IF(Raw_Data!L354="","",Raw_Data!L354)</f>
        <v>Requesting additional jerrycans for a shared shelter of four families.</v>
      </c>
      <c r="M343" s="34" t="n">
        <f aca="false">IF(OR(B343="",K343=""),"",IFERROR(K343-B343,"CHECK"))</f>
        <v>17</v>
      </c>
      <c r="N343" s="34" t="n">
        <f aca="false">IFERROR(INDEX(Reference_Lists!$H$13:$H$14,MATCH(G343,Reference_Lists!$G$13:$G$14,0)),"UNMATCHED")</f>
        <v>15</v>
      </c>
      <c r="O343" s="35" t="b">
        <f aca="false">IF(AND(J343="Closed",ISNUMBER(M343),ISNUMBER(N343),M343&gt;=0),M343&lt;=N343,"NOT ASSESSED")</f>
        <v>0</v>
      </c>
      <c r="P343" s="36" t="str">
        <f aca="false">Raw_Data!A354</f>
        <v>CFM-2026-0215</v>
      </c>
      <c r="Q343" s="37" t="str">
        <f aca="false">IFERROR(IF(OR($A343="",$P343=""),"MISSING ID",IF(EXACT($A343,$P343),"ALIGNED","MISMATCH")),"CHECK")</f>
        <v>ALIGNED</v>
      </c>
    </row>
    <row r="344" customFormat="false" ht="19.5" hidden="false" customHeight="true" outlineLevel="0" collapsed="false">
      <c r="A344" s="29" t="s">
        <v>468</v>
      </c>
      <c r="B344" s="30" t="n">
        <f aca="false">IF(Raw_Data!B355="","",IF(ISTEXT(Raw_Data!B355),IFERROR(DATE(VALUE(RIGHT(TRIM(Raw_Data!B355),4)),VALUE(MID(TRIM(Raw_Data!B355),4,2)),VALUE(LEFT(TRIM(Raw_Data!B355),2))),"CHECK"),Raw_Data!B355))</f>
        <v>46211</v>
      </c>
      <c r="C344" s="31" t="str">
        <f aca="false">IFERROR(INDEX(Reference_Lists!$C$23:$C$35,MATCH(PROPER(TRIM(Raw_Data!C355)),Reference_Lists!$B$23:$B$35,0)),"UNMATCHED")</f>
        <v>Community Focal Point</v>
      </c>
      <c r="D344" s="31" t="str">
        <f aca="false">IFERROR(INDEX(Reference_Lists!$C$36:$C$50,MATCH(PROPER(TRIM(Raw_Data!D355)),Reference_Lists!$B$36:$B$50,0)),"UNMATCHED")</f>
        <v>Gaza City</v>
      </c>
      <c r="E344" s="31" t="str">
        <f aca="false">IF(Raw_Data!E355="","",Raw_Data!E355)</f>
        <v>Nutrition</v>
      </c>
      <c r="F344" s="31" t="str">
        <f aca="false">IF(Raw_Data!F355="","",Raw_Data!F355)</f>
        <v>Sensitive Complaint</v>
      </c>
      <c r="G344" s="32" t="str">
        <f aca="false">IF(Raw_Data!G355="","",Raw_Data!G355)</f>
        <v/>
      </c>
      <c r="H344" s="32" t="str">
        <f aca="false">IFERROR(INDEX(Reference_Lists!$C$51:$C$57,MATCH(PROPER(TRIM(Raw_Data!H355)),Reference_Lists!$B$51:$B$57,0)),"UNMATCHED")</f>
        <v>Female</v>
      </c>
      <c r="I344" s="32" t="str">
        <f aca="false">IF(Raw_Data!I355="","",Raw_Data!I355)</f>
        <v>18-29</v>
      </c>
      <c r="J344" s="32" t="str">
        <f aca="false">IFERROR(INDEX(Reference_Lists!$C$58:$C$65,MATCH(PROPER(TRIM(Raw_Data!J355)),Reference_Lists!$B$58:$B$65,0)),"UNMATCHED")</f>
        <v>Closed</v>
      </c>
      <c r="K344" s="30" t="n">
        <f aca="false">IF(Raw_Data!K355="","",IF(ISTEXT(Raw_Data!K355),IFERROR(DATE(VALUE(RIGHT(TRIM(Raw_Data!K355),4)),VALUE(MID(TRIM(Raw_Data!K355),4,2)),VALUE(LEFT(TRIM(Raw_Data!K355),2))),"CHECK"),Raw_Data!K355))</f>
        <v>46232</v>
      </c>
      <c r="L344" s="33" t="str">
        <f aca="false">IF(Raw_Data!L355="","",Raw_Data!L355)</f>
        <v>Sensitive case - details recorded separately by the focal point; not stored in this tracker.</v>
      </c>
      <c r="M344" s="34" t="n">
        <f aca="false">IF(OR(B344="",K344=""),"",IFERROR(K344-B344,"CHECK"))</f>
        <v>21</v>
      </c>
      <c r="N344" s="34" t="str">
        <f aca="false">IFERROR(INDEX(Reference_Lists!$H$13:$H$14,MATCH(G344,Reference_Lists!$G$13:$G$14,0)),"UNMATCHED")</f>
        <v>UNMATCHED</v>
      </c>
      <c r="O344" s="32" t="str">
        <f aca="false">IF(AND(J344="Closed",ISNUMBER(M344),ISNUMBER(N344),M344&gt;=0),M344&lt;=N344,"NOT ASSESSED")</f>
        <v>NOT ASSESSED</v>
      </c>
      <c r="P344" s="36" t="str">
        <f aca="false">Raw_Data!A355</f>
        <v>CFM-2026-0053</v>
      </c>
      <c r="Q344" s="37" t="str">
        <f aca="false">IFERROR(IF(OR($A344="",$P344=""),"MISSING ID",IF(EXACT($A344,$P344),"ALIGNED","MISMATCH")),"CHECK")</f>
        <v>ALIGNED</v>
      </c>
    </row>
    <row r="345" customFormat="false" ht="19.5" hidden="false" customHeight="true" outlineLevel="0" collapsed="false">
      <c r="A345" s="29" t="s">
        <v>469</v>
      </c>
      <c r="B345" s="30" t="n">
        <f aca="false">IF(Raw_Data!B356="","",IF(ISTEXT(Raw_Data!B356),IFERROR(DATE(VALUE(RIGHT(TRIM(Raw_Data!B356),4)),VALUE(MID(TRIM(Raw_Data!B356),4,2)),VALUE(LEFT(TRIM(Raw_Data!B356),2))),"CHECK"),Raw_Data!B356))</f>
        <v>46087</v>
      </c>
      <c r="C345" s="31" t="str">
        <f aca="false">IFERROR(INDEX(Reference_Lists!$C$23:$C$35,MATCH(PROPER(TRIM(Raw_Data!C356)),Reference_Lists!$B$23:$B$35,0)),"UNMATCHED")</f>
        <v>Suggestion Box</v>
      </c>
      <c r="D345" s="31" t="str">
        <f aca="false">IFERROR(INDEX(Reference_Lists!$C$36:$C$50,MATCH(PROPER(TRIM(Raw_Data!D356)),Reference_Lists!$B$36:$B$50,0)),"UNMATCHED")</f>
        <v>Rafah</v>
      </c>
      <c r="E345" s="31" t="str">
        <f aca="false">IF(Raw_Data!E356="","",Raw_Data!E356)</f>
        <v>Nutrition</v>
      </c>
      <c r="F345" s="31" t="str">
        <f aca="false">IF(Raw_Data!F356="","",Raw_Data!F356)</f>
        <v>Complaint</v>
      </c>
      <c r="G345" s="32" t="str">
        <f aca="false">IF(Raw_Data!G356="","",Raw_Data!G356)</f>
        <v>Non-Sensitive</v>
      </c>
      <c r="H345" s="32" t="str">
        <f aca="false">IFERROR(INDEX(Reference_Lists!$C$51:$C$57,MATCH(PROPER(TRIM(Raw_Data!H356)),Reference_Lists!$B$51:$B$57,0)),"UNMATCHED")</f>
        <v>Female</v>
      </c>
      <c r="I345" s="32" t="str">
        <f aca="false">IF(Raw_Data!I356="","",Raw_Data!I356)</f>
        <v>45-59</v>
      </c>
      <c r="J345" s="32" t="str">
        <f aca="false">IFERROR(INDEX(Reference_Lists!$C$58:$C$65,MATCH(PROPER(TRIM(Raw_Data!J356)),Reference_Lists!$B$58:$B$65,0)),"UNMATCHED")</f>
        <v>Closed</v>
      </c>
      <c r="K345" s="30" t="n">
        <f aca="false">IF(Raw_Data!K356="","",IF(ISTEXT(Raw_Data!K356),IFERROR(DATE(VALUE(RIGHT(TRIM(Raw_Data!K356),4)),VALUE(MID(TRIM(Raw_Data!K356),4,2)),VALUE(LEFT(TRIM(Raw_Data!K356),2))),"CHECK"),Raw_Data!K356))</f>
        <v>46108</v>
      </c>
      <c r="L345" s="33" t="str">
        <f aca="false">IF(Raw_Data!L356="","",Raw_Data!L356)</f>
        <v>Asking whether children above five are included in the screening.</v>
      </c>
      <c r="M345" s="34" t="n">
        <f aca="false">IF(OR(B345="",K345=""),"",IFERROR(K345-B345,"CHECK"))</f>
        <v>21</v>
      </c>
      <c r="N345" s="34" t="n">
        <f aca="false">IFERROR(INDEX(Reference_Lists!$H$13:$H$14,MATCH(G345,Reference_Lists!$G$13:$G$14,0)),"UNMATCHED")</f>
        <v>15</v>
      </c>
      <c r="O345" s="35" t="b">
        <f aca="false">IF(AND(J345="Closed",ISNUMBER(M345),ISNUMBER(N345),M345&gt;=0),M345&lt;=N345,"NOT ASSESSED")</f>
        <v>0</v>
      </c>
      <c r="P345" s="36" t="str">
        <f aca="false">Raw_Data!A356</f>
        <v>CFM-2026-0452</v>
      </c>
      <c r="Q345" s="37" t="str">
        <f aca="false">IFERROR(IF(OR($A345="",$P345=""),"MISSING ID",IF(EXACT($A345,$P345),"ALIGNED","MISMATCH")),"CHECK")</f>
        <v>ALIGNED</v>
      </c>
    </row>
    <row r="346" customFormat="false" ht="19.5" hidden="false" customHeight="true" outlineLevel="0" collapsed="false">
      <c r="A346" s="29" t="s">
        <v>470</v>
      </c>
      <c r="B346" s="30" t="n">
        <f aca="false">IF(Raw_Data!B357="","",IF(ISTEXT(Raw_Data!B357),IFERROR(DATE(VALUE(RIGHT(TRIM(Raw_Data!B357),4)),VALUE(MID(TRIM(Raw_Data!B357),4,2)),VALUE(LEFT(TRIM(Raw_Data!B357),2))),"CHECK"),Raw_Data!B357))</f>
        <v>46165</v>
      </c>
      <c r="C346" s="31" t="str">
        <f aca="false">IFERROR(INDEX(Reference_Lists!$C$23:$C$35,MATCH(PROPER(TRIM(Raw_Data!C357)),Reference_Lists!$B$23:$B$35,0)),"UNMATCHED")</f>
        <v>Help Desk</v>
      </c>
      <c r="D346" s="31" t="str">
        <f aca="false">IFERROR(INDEX(Reference_Lists!$C$36:$C$50,MATCH(PROPER(TRIM(Raw_Data!D357)),Reference_Lists!$B$36:$B$50,0)),"UNMATCHED")</f>
        <v>Jabalia</v>
      </c>
      <c r="E346" s="31" t="str">
        <f aca="false">IF(Raw_Data!E357="","",Raw_Data!E357)</f>
        <v>Health</v>
      </c>
      <c r="F346" s="31" t="str">
        <f aca="false">IF(Raw_Data!F357="","",Raw_Data!F357)</f>
        <v>Appreciation</v>
      </c>
      <c r="G346" s="32" t="str">
        <f aca="false">IF(Raw_Data!G357="","",Raw_Data!G357)</f>
        <v>Non-Sensitive</v>
      </c>
      <c r="H346" s="32" t="str">
        <f aca="false">IFERROR(INDEX(Reference_Lists!$C$51:$C$57,MATCH(PROPER(TRIM(Raw_Data!H357)),Reference_Lists!$B$51:$B$57,0)),"UNMATCHED")</f>
        <v>Male</v>
      </c>
      <c r="I346" s="32" t="str">
        <f aca="false">IF(Raw_Data!I357="","",Raw_Data!I357)</f>
        <v>30-44</v>
      </c>
      <c r="J346" s="32" t="str">
        <f aca="false">IFERROR(INDEX(Reference_Lists!$C$58:$C$65,MATCH(PROPER(TRIM(Raw_Data!J357)),Reference_Lists!$B$58:$B$65,0)),"UNMATCHED")</f>
        <v>Closed</v>
      </c>
      <c r="K346" s="30" t="n">
        <f aca="false">IF(Raw_Data!K357="","",IF(ISTEXT(Raw_Data!K357),IFERROR(DATE(VALUE(RIGHT(TRIM(Raw_Data!K357),4)),VALUE(MID(TRIM(Raw_Data!K357),4,2)),VALUE(LEFT(TRIM(Raw_Data!K357),2))),"CHECK"),Raw_Data!K357))</f>
        <v>46175</v>
      </c>
      <c r="L346" s="33" t="str">
        <f aca="false">IF(Raw_Data!L357="","",Raw_Data!L357)</f>
        <v>Clinic opening hours are not clear to the community.</v>
      </c>
      <c r="M346" s="34" t="n">
        <f aca="false">IF(OR(B346="",K346=""),"",IFERROR(K346-B346,"CHECK"))</f>
        <v>10</v>
      </c>
      <c r="N346" s="34" t="n">
        <f aca="false">IFERROR(INDEX(Reference_Lists!$H$13:$H$14,MATCH(G346,Reference_Lists!$G$13:$G$14,0)),"UNMATCHED")</f>
        <v>15</v>
      </c>
      <c r="O346" s="35" t="b">
        <f aca="false">IF(AND(J346="Closed",ISNUMBER(M346),ISNUMBER(N346),M346&gt;=0),M346&lt;=N346,"NOT ASSESSED")</f>
        <v>1</v>
      </c>
      <c r="P346" s="36" t="str">
        <f aca="false">Raw_Data!A357</f>
        <v>CFM-2026-0305</v>
      </c>
      <c r="Q346" s="37" t="str">
        <f aca="false">IFERROR(IF(OR($A346="",$P346=""),"MISSING ID",IF(EXACT($A346,$P346),"ALIGNED","MISMATCH")),"CHECK")</f>
        <v>ALIGNED</v>
      </c>
    </row>
    <row r="347" customFormat="false" ht="19.5" hidden="false" customHeight="true" outlineLevel="0" collapsed="false">
      <c r="A347" s="29" t="s">
        <v>471</v>
      </c>
      <c r="B347" s="30" t="n">
        <f aca="false">IF(Raw_Data!B358="","",IF(ISTEXT(Raw_Data!B358),IFERROR(DATE(VALUE(RIGHT(TRIM(Raw_Data!B358),4)),VALUE(MID(TRIM(Raw_Data!B358),4,2)),VALUE(LEFT(TRIM(Raw_Data!B358),2))),"CHECK"),Raw_Data!B358))</f>
        <v>46061</v>
      </c>
      <c r="C347" s="31" t="str">
        <f aca="false">IFERROR(INDEX(Reference_Lists!$C$23:$C$35,MATCH(PROPER(TRIM(Raw_Data!C358)),Reference_Lists!$B$23:$B$35,0)),"UNMATCHED")</f>
        <v>Phone Hotline</v>
      </c>
      <c r="D347" s="31" t="str">
        <f aca="false">IFERROR(INDEX(Reference_Lists!$C$36:$C$50,MATCH(PROPER(TRIM(Raw_Data!D358)),Reference_Lists!$B$36:$B$50,0)),"UNMATCHED")</f>
        <v>Nuseirat</v>
      </c>
      <c r="E347" s="31" t="str">
        <f aca="false">IF(Raw_Data!E358="","",Raw_Data!E358)</f>
        <v>Food Security</v>
      </c>
      <c r="F347" s="31" t="str">
        <f aca="false">IF(Raw_Data!F358="","",Raw_Data!F358)</f>
        <v>Appreciation</v>
      </c>
      <c r="G347" s="32" t="str">
        <f aca="false">IF(Raw_Data!G358="","",Raw_Data!G358)</f>
        <v>Non-Sensitive</v>
      </c>
      <c r="H347" s="32" t="str">
        <f aca="false">IFERROR(INDEX(Reference_Lists!$C$51:$C$57,MATCH(PROPER(TRIM(Raw_Data!H358)),Reference_Lists!$B$51:$B$57,0)),"UNMATCHED")</f>
        <v>Male</v>
      </c>
      <c r="I347" s="32" t="str">
        <f aca="false">IF(Raw_Data!I358="","",Raw_Data!I358)</f>
        <v>30-44</v>
      </c>
      <c r="J347" s="32" t="str">
        <f aca="false">IFERROR(INDEX(Reference_Lists!$C$58:$C$65,MATCH(PROPER(TRIM(Raw_Data!J358)),Reference_Lists!$B$58:$B$65,0)),"UNMATCHED")</f>
        <v>Closed</v>
      </c>
      <c r="K347" s="30" t="n">
        <f aca="false">IF(Raw_Data!K358="","",IF(ISTEXT(Raw_Data!K358),IFERROR(DATE(VALUE(RIGHT(TRIM(Raw_Data!K358),4)),VALUE(MID(TRIM(Raw_Data!K358),4,2)),VALUE(LEFT(TRIM(Raw_Data!K358),2))),"CHECK"),Raw_Data!K358))</f>
        <v>46083</v>
      </c>
      <c r="L347" s="33" t="str">
        <f aca="false">IF(Raw_Data!L358="","",Raw_Data!L358)</f>
        <v>Food parcel contents did not match the announced list.</v>
      </c>
      <c r="M347" s="34" t="n">
        <f aca="false">IF(OR(B347="",K347=""),"",IFERROR(K347-B347,"CHECK"))</f>
        <v>22</v>
      </c>
      <c r="N347" s="34" t="n">
        <f aca="false">IFERROR(INDEX(Reference_Lists!$H$13:$H$14,MATCH(G347,Reference_Lists!$G$13:$G$14,0)),"UNMATCHED")</f>
        <v>15</v>
      </c>
      <c r="O347" s="35" t="b">
        <f aca="false">IF(AND(J347="Closed",ISNUMBER(M347),ISNUMBER(N347),M347&gt;=0),M347&lt;=N347,"NOT ASSESSED")</f>
        <v>0</v>
      </c>
      <c r="P347" s="36" t="str">
        <f aca="false">Raw_Data!A358</f>
        <v>CFM-2026-0059</v>
      </c>
      <c r="Q347" s="37" t="str">
        <f aca="false">IFERROR(IF(OR($A347="",$P347=""),"MISSING ID",IF(EXACT($A347,$P347),"ALIGNED","MISMATCH")),"CHECK")</f>
        <v>ALIGNED</v>
      </c>
    </row>
    <row r="348" customFormat="false" ht="19.5" hidden="false" customHeight="true" outlineLevel="0" collapsed="false">
      <c r="A348" s="29" t="s">
        <v>472</v>
      </c>
      <c r="B348" s="30" t="n">
        <f aca="false">IF(Raw_Data!B359="","",IF(ISTEXT(Raw_Data!B359),IFERROR(DATE(VALUE(RIGHT(TRIM(Raw_Data!B359),4)),VALUE(MID(TRIM(Raw_Data!B359),4,2)),VALUE(LEFT(TRIM(Raw_Data!B359),2))),"CHECK"),Raw_Data!B359))</f>
        <v>46154</v>
      </c>
      <c r="C348" s="31" t="str">
        <f aca="false">IFERROR(INDEX(Reference_Lists!$C$23:$C$35,MATCH(PROPER(TRIM(Raw_Data!C359)),Reference_Lists!$B$23:$B$35,0)),"UNMATCHED")</f>
        <v>In-Person at Distribution</v>
      </c>
      <c r="D348" s="31" t="str">
        <f aca="false">IFERROR(INDEX(Reference_Lists!$C$36:$C$50,MATCH(PROPER(TRIM(Raw_Data!D359)),Reference_Lists!$B$36:$B$50,0)),"UNMATCHED")</f>
        <v>Rafah</v>
      </c>
      <c r="E348" s="31" t="str">
        <f aca="false">IF(Raw_Data!E359="","",Raw_Data!E359)</f>
        <v>Nutrition</v>
      </c>
      <c r="F348" s="31" t="str">
        <f aca="false">IF(Raw_Data!F359="","",Raw_Data!F359)</f>
        <v>Complaint</v>
      </c>
      <c r="G348" s="32" t="str">
        <f aca="false">IF(Raw_Data!G359="","",Raw_Data!G359)</f>
        <v>Non-Sensitive</v>
      </c>
      <c r="H348" s="32" t="str">
        <f aca="false">IFERROR(INDEX(Reference_Lists!$C$51:$C$57,MATCH(PROPER(TRIM(Raw_Data!H359)),Reference_Lists!$B$51:$B$57,0)),"UNMATCHED")</f>
        <v>Female</v>
      </c>
      <c r="I348" s="32" t="str">
        <f aca="false">IF(Raw_Data!I359="","",Raw_Data!I359)</f>
        <v>30-44</v>
      </c>
      <c r="J348" s="32" t="str">
        <f aca="false">IFERROR(INDEX(Reference_Lists!$C$58:$C$65,MATCH(PROPER(TRIM(Raw_Data!J359)),Reference_Lists!$B$58:$B$65,0)),"UNMATCHED")</f>
        <v>Closed</v>
      </c>
      <c r="K348" s="30" t="n">
        <f aca="false">IF(Raw_Data!K359="","",IF(ISTEXT(Raw_Data!K359),IFERROR(DATE(VALUE(RIGHT(TRIM(Raw_Data!K359),4)),VALUE(MID(TRIM(Raw_Data!K359),4,2)),VALUE(LEFT(TRIM(Raw_Data!K359),2))),"CHECK"),Raw_Data!K359))</f>
        <v>46164</v>
      </c>
      <c r="L348" s="33" t="str">
        <f aca="false">IF(Raw_Data!L359="","",Raw_Data!L359)</f>
        <v>Requesting a screening session closer to the northern shelter.</v>
      </c>
      <c r="M348" s="34" t="n">
        <f aca="false">IF(OR(B348="",K348=""),"",IFERROR(K348-B348,"CHECK"))</f>
        <v>10</v>
      </c>
      <c r="N348" s="34" t="n">
        <f aca="false">IFERROR(INDEX(Reference_Lists!$H$13:$H$14,MATCH(G348,Reference_Lists!$G$13:$G$14,0)),"UNMATCHED")</f>
        <v>15</v>
      </c>
      <c r="O348" s="35" t="b">
        <f aca="false">IF(AND(J348="Closed",ISNUMBER(M348),ISNUMBER(N348),M348&gt;=0),M348&lt;=N348,"NOT ASSESSED")</f>
        <v>1</v>
      </c>
      <c r="P348" s="36" t="str">
        <f aca="false">Raw_Data!A359</f>
        <v>CFM-2026-0126</v>
      </c>
      <c r="Q348" s="37" t="str">
        <f aca="false">IFERROR(IF(OR($A348="",$P348=""),"MISSING ID",IF(EXACT($A348,$P348),"ALIGNED","MISMATCH")),"CHECK")</f>
        <v>ALIGNED</v>
      </c>
    </row>
    <row r="349" customFormat="false" ht="19.5" hidden="false" customHeight="true" outlineLevel="0" collapsed="false">
      <c r="A349" s="29" t="s">
        <v>473</v>
      </c>
      <c r="B349" s="30" t="n">
        <f aca="false">IF(Raw_Data!B360="","",IF(ISTEXT(Raw_Data!B360),IFERROR(DATE(VALUE(RIGHT(TRIM(Raw_Data!B360),4)),VALUE(MID(TRIM(Raw_Data!B360),4,2)),VALUE(LEFT(TRIM(Raw_Data!B360),2))),"CHECK"),Raw_Data!B360))</f>
        <v>46163</v>
      </c>
      <c r="C349" s="31" t="str">
        <f aca="false">IFERROR(INDEX(Reference_Lists!$C$23:$C$35,MATCH(PROPER(TRIM(Raw_Data!C360)),Reference_Lists!$B$23:$B$35,0)),"UNMATCHED")</f>
        <v>Community Focal Point</v>
      </c>
      <c r="D349" s="31" t="str">
        <f aca="false">IFERROR(INDEX(Reference_Lists!$C$36:$C$50,MATCH(PROPER(TRIM(Raw_Data!D360)),Reference_Lists!$B$36:$B$50,0)),"UNMATCHED")</f>
        <v>Rafah</v>
      </c>
      <c r="E349" s="31" t="str">
        <f aca="false">IF(Raw_Data!E360="","",Raw_Data!E360)</f>
        <v>Health</v>
      </c>
      <c r="F349" s="31" t="str">
        <f aca="false">IF(Raw_Data!F360="","",Raw_Data!F360)</f>
        <v>Appreciation</v>
      </c>
      <c r="G349" s="32" t="str">
        <f aca="false">IF(Raw_Data!G360="","",Raw_Data!G360)</f>
        <v>Non-Sensitive</v>
      </c>
      <c r="H349" s="32" t="str">
        <f aca="false">IFERROR(INDEX(Reference_Lists!$C$51:$C$57,MATCH(PROPER(TRIM(Raw_Data!H360)),Reference_Lists!$B$51:$B$57,0)),"UNMATCHED")</f>
        <v>Female</v>
      </c>
      <c r="I349" s="32" t="str">
        <f aca="false">IF(Raw_Data!I360="","",Raw_Data!I360)</f>
        <v>45-59</v>
      </c>
      <c r="J349" s="32" t="str">
        <f aca="false">IFERROR(INDEX(Reference_Lists!$C$58:$C$65,MATCH(PROPER(TRIM(Raw_Data!J360)),Reference_Lists!$B$58:$B$65,0)),"UNMATCHED")</f>
        <v>Closed</v>
      </c>
      <c r="K349" s="30" t="n">
        <f aca="false">IF(Raw_Data!K360="","",IF(ISTEXT(Raw_Data!K360),IFERROR(DATE(VALUE(RIGHT(TRIM(Raw_Data!K360),4)),VALUE(MID(TRIM(Raw_Data!K360),4,2)),VALUE(LEFT(TRIM(Raw_Data!K360),2))),"CHECK"),Raw_Data!K360))</f>
        <v>46178</v>
      </c>
      <c r="L349" s="33" t="str">
        <f aca="false">IF(Raw_Data!L360="","",Raw_Data!L360)</f>
        <v>Waiting time at the mobile clinic is long during afternoon hours.</v>
      </c>
      <c r="M349" s="34" t="n">
        <f aca="false">IF(OR(B349="",K349=""),"",IFERROR(K349-B349,"CHECK"))</f>
        <v>15</v>
      </c>
      <c r="N349" s="34" t="n">
        <f aca="false">IFERROR(INDEX(Reference_Lists!$H$13:$H$14,MATCH(G349,Reference_Lists!$G$13:$G$14,0)),"UNMATCHED")</f>
        <v>15</v>
      </c>
      <c r="O349" s="35" t="b">
        <f aca="false">IF(AND(J349="Closed",ISNUMBER(M349),ISNUMBER(N349),M349&gt;=0),M349&lt;=N349,"NOT ASSESSED")</f>
        <v>1</v>
      </c>
      <c r="P349" s="36" t="str">
        <f aca="false">Raw_Data!A360</f>
        <v>CFM-2026-0024</v>
      </c>
      <c r="Q349" s="37" t="str">
        <f aca="false">IFERROR(IF(OR($A349="",$P349=""),"MISSING ID",IF(EXACT($A349,$P349),"ALIGNED","MISMATCH")),"CHECK")</f>
        <v>ALIGNED</v>
      </c>
    </row>
    <row r="350" customFormat="false" ht="19.5" hidden="false" customHeight="true" outlineLevel="0" collapsed="false">
      <c r="A350" s="29" t="s">
        <v>474</v>
      </c>
      <c r="B350" s="30" t="n">
        <f aca="false">IF(Raw_Data!B361="","",IF(ISTEXT(Raw_Data!B361),IFERROR(DATE(VALUE(RIGHT(TRIM(Raw_Data!B361),4)),VALUE(MID(TRIM(Raw_Data!B361),4,2)),VALUE(LEFT(TRIM(Raw_Data!B361),2))),"CHECK"),Raw_Data!B361))</f>
        <v>46109</v>
      </c>
      <c r="C350" s="31" t="str">
        <f aca="false">IFERROR(INDEX(Reference_Lists!$C$23:$C$35,MATCH(PROPER(TRIM(Raw_Data!C361)),Reference_Lists!$B$23:$B$35,0)),"UNMATCHED")</f>
        <v>Community Focal Point</v>
      </c>
      <c r="D350" s="31" t="str">
        <f aca="false">IFERROR(INDEX(Reference_Lists!$C$36:$C$50,MATCH(PROPER(TRIM(Raw_Data!D361)),Reference_Lists!$B$36:$B$50,0)),"UNMATCHED")</f>
        <v>Khan Yunis</v>
      </c>
      <c r="E350" s="31" t="str">
        <f aca="false">IF(Raw_Data!E361="","",Raw_Data!E361)</f>
        <v>Food Security</v>
      </c>
      <c r="F350" s="31" t="str">
        <f aca="false">IF(Raw_Data!F361="","",Raw_Data!F361)</f>
        <v>Appreciation</v>
      </c>
      <c r="G350" s="32" t="str">
        <f aca="false">IF(Raw_Data!G361="","",Raw_Data!G361)</f>
        <v>Non-Sensitive</v>
      </c>
      <c r="H350" s="32" t="str">
        <f aca="false">IFERROR(INDEX(Reference_Lists!$C$51:$C$57,MATCH(PROPER(TRIM(Raw_Data!H361)),Reference_Lists!$B$51:$B$57,0)),"UNMATCHED")</f>
        <v>Male</v>
      </c>
      <c r="I350" s="32" t="str">
        <f aca="false">IF(Raw_Data!I361="","",Raw_Data!I361)</f>
        <v>60+</v>
      </c>
      <c r="J350" s="32" t="str">
        <f aca="false">IFERROR(INDEX(Reference_Lists!$C$58:$C$65,MATCH(PROPER(TRIM(Raw_Data!J361)),Reference_Lists!$B$58:$B$65,0)),"UNMATCHED")</f>
        <v>Open</v>
      </c>
      <c r="K350" s="30" t="str">
        <f aca="false">IF(Raw_Data!K361="","",IF(ISTEXT(Raw_Data!K361),IFERROR(DATE(VALUE(RIGHT(TRIM(Raw_Data!K361),4)),VALUE(MID(TRIM(Raw_Data!K361),4,2)),VALUE(LEFT(TRIM(Raw_Data!K361),2))),"CHECK"),Raw_Data!K361))</f>
        <v/>
      </c>
      <c r="L350" s="33" t="str">
        <f aca="false">IF(Raw_Data!L361="","",Raw_Data!L361)</f>
        <v>Thanking the team for organising the last distribution well.</v>
      </c>
      <c r="M350" s="34" t="str">
        <f aca="false">IF(OR(B350="",K350=""),"",IFERROR(K350-B350,"CHECK"))</f>
        <v/>
      </c>
      <c r="N350" s="34" t="n">
        <f aca="false">IFERROR(INDEX(Reference_Lists!$H$13:$H$14,MATCH(G350,Reference_Lists!$G$13:$G$14,0)),"UNMATCHED")</f>
        <v>15</v>
      </c>
      <c r="O350" s="32" t="str">
        <f aca="false">IF(AND(J350="Closed",ISNUMBER(M350),ISNUMBER(N350),M350&gt;=0),M350&lt;=N350,"NOT ASSESSED")</f>
        <v>NOT ASSESSED</v>
      </c>
      <c r="P350" s="36" t="str">
        <f aca="false">Raw_Data!A361</f>
        <v>CFM-2026-0298</v>
      </c>
      <c r="Q350" s="37" t="str">
        <f aca="false">IFERROR(IF(OR($A350="",$P350=""),"MISSING ID",IF(EXACT($A350,$P350),"ALIGNED","MISMATCH")),"CHECK")</f>
        <v>ALIGNED</v>
      </c>
    </row>
    <row r="351" customFormat="false" ht="19.5" hidden="false" customHeight="true" outlineLevel="0" collapsed="false">
      <c r="A351" s="29" t="s">
        <v>475</v>
      </c>
      <c r="B351" s="30" t="n">
        <f aca="false">IF(Raw_Data!B362="","",IF(ISTEXT(Raw_Data!B362),IFERROR(DATE(VALUE(RIGHT(TRIM(Raw_Data!B362),4)),VALUE(MID(TRIM(Raw_Data!B362),4,2)),VALUE(LEFT(TRIM(Raw_Data!B362),2))),"CHECK"),Raw_Data!B362))</f>
        <v>46057</v>
      </c>
      <c r="C351" s="31" t="str">
        <f aca="false">IFERROR(INDEX(Reference_Lists!$C$23:$C$35,MATCH(PROPER(TRIM(Raw_Data!C362)),Reference_Lists!$B$23:$B$35,0)),"UNMATCHED")</f>
        <v>Phone Hotline</v>
      </c>
      <c r="D351" s="31" t="str">
        <f aca="false">IFERROR(INDEX(Reference_Lists!$C$36:$C$50,MATCH(PROPER(TRIM(Raw_Data!D362)),Reference_Lists!$B$36:$B$50,0)),"UNMATCHED")</f>
        <v>Jabalia</v>
      </c>
      <c r="E351" s="31" t="str">
        <f aca="false">IF(Raw_Data!E362="","",Raw_Data!E362)</f>
        <v>WASH</v>
      </c>
      <c r="F351" s="31" t="str">
        <f aca="false">IF(Raw_Data!F362="","",Raw_Data!F362)</f>
        <v>Appreciation</v>
      </c>
      <c r="G351" s="32" t="str">
        <f aca="false">IF(Raw_Data!G362="","",Raw_Data!G362)</f>
        <v>Non-Sensitive</v>
      </c>
      <c r="H351" s="32" t="str">
        <f aca="false">IFERROR(INDEX(Reference_Lists!$C$51:$C$57,MATCH(PROPER(TRIM(Raw_Data!H362)),Reference_Lists!$B$51:$B$57,0)),"UNMATCHED")</f>
        <v>Female</v>
      </c>
      <c r="I351" s="32" t="str">
        <f aca="false">IF(Raw_Data!I362="","",Raw_Data!I362)</f>
        <v>60+</v>
      </c>
      <c r="J351" s="32" t="str">
        <f aca="false">IFERROR(INDEX(Reference_Lists!$C$58:$C$65,MATCH(PROPER(TRIM(Raw_Data!J362)),Reference_Lists!$B$58:$B$65,0)),"UNMATCHED")</f>
        <v>Closed</v>
      </c>
      <c r="K351" s="30" t="n">
        <f aca="false">IF(Raw_Data!K362="","",IF(ISTEXT(Raw_Data!K362),IFERROR(DATE(VALUE(RIGHT(TRIM(Raw_Data!K362),4)),VALUE(MID(TRIM(Raw_Data!K362),4,2)),VALUE(LEFT(TRIM(Raw_Data!K362),2))),"CHECK"),Raw_Data!K362))</f>
        <v>46066</v>
      </c>
      <c r="L351" s="33" t="str">
        <f aca="false">IF(Raw_Data!L362="","",Raw_Data!L362)</f>
        <v>Latrine at the site block needs cleaning and lighting at night.</v>
      </c>
      <c r="M351" s="34" t="n">
        <f aca="false">IF(OR(B351="",K351=""),"",IFERROR(K351-B351,"CHECK"))</f>
        <v>9</v>
      </c>
      <c r="N351" s="34" t="n">
        <f aca="false">IFERROR(INDEX(Reference_Lists!$H$13:$H$14,MATCH(G351,Reference_Lists!$G$13:$G$14,0)),"UNMATCHED")</f>
        <v>15</v>
      </c>
      <c r="O351" s="35" t="b">
        <f aca="false">IF(AND(J351="Closed",ISNUMBER(M351),ISNUMBER(N351),M351&gt;=0),M351&lt;=N351,"NOT ASSESSED")</f>
        <v>1</v>
      </c>
      <c r="P351" s="36" t="str">
        <f aca="false">Raw_Data!A362</f>
        <v>CFM-2026-0226</v>
      </c>
      <c r="Q351" s="37" t="str">
        <f aca="false">IFERROR(IF(OR($A351="",$P351=""),"MISSING ID",IF(EXACT($A351,$P351),"ALIGNED","MISMATCH")),"CHECK")</f>
        <v>ALIGNED</v>
      </c>
    </row>
    <row r="352" customFormat="false" ht="19.5" hidden="false" customHeight="true" outlineLevel="0" collapsed="false">
      <c r="A352" s="29" t="s">
        <v>476</v>
      </c>
      <c r="B352" s="30" t="n">
        <f aca="false">IF(Raw_Data!B363="","",IF(ISTEXT(Raw_Data!B363),IFERROR(DATE(VALUE(RIGHT(TRIM(Raw_Data!B363),4)),VALUE(MID(TRIM(Raw_Data!B363),4,2)),VALUE(LEFT(TRIM(Raw_Data!B363),2))),"CHECK"),Raw_Data!B363))</f>
        <v>46078</v>
      </c>
      <c r="C352" s="31" t="str">
        <f aca="false">IFERROR(INDEX(Reference_Lists!$C$23:$C$35,MATCH(PROPER(TRIM(Raw_Data!C363)),Reference_Lists!$B$23:$B$35,0)),"UNMATCHED")</f>
        <v>Phone Hotline</v>
      </c>
      <c r="D352" s="31" t="str">
        <f aca="false">IFERROR(INDEX(Reference_Lists!$C$36:$C$50,MATCH(PROPER(TRIM(Raw_Data!D363)),Reference_Lists!$B$36:$B$50,0)),"UNMATCHED")</f>
        <v>Nuseirat</v>
      </c>
      <c r="E352" s="31" t="str">
        <f aca="false">IF(Raw_Data!E363="","",Raw_Data!E363)</f>
        <v>Shelter</v>
      </c>
      <c r="F352" s="31" t="str">
        <f aca="false">IF(Raw_Data!F363="","",Raw_Data!F363)</f>
        <v>Complaint</v>
      </c>
      <c r="G352" s="32" t="str">
        <f aca="false">IF(Raw_Data!G363="","",Raw_Data!G363)</f>
        <v>Non-Sensitive</v>
      </c>
      <c r="H352" s="32" t="str">
        <f aca="false">IFERROR(INDEX(Reference_Lists!$C$51:$C$57,MATCH(PROPER(TRIM(Raw_Data!H363)),Reference_Lists!$B$51:$B$57,0)),"UNMATCHED")</f>
        <v>Female</v>
      </c>
      <c r="I352" s="32" t="str">
        <f aca="false">IF(Raw_Data!I363="","",Raw_Data!I363)</f>
        <v>18-29</v>
      </c>
      <c r="J352" s="32" t="str">
        <f aca="false">IFERROR(INDEX(Reference_Lists!$C$58:$C$65,MATCH(PROPER(TRIM(Raw_Data!J363)),Reference_Lists!$B$58:$B$65,0)),"UNMATCHED")</f>
        <v>Closed</v>
      </c>
      <c r="K352" s="30" t="n">
        <f aca="false">IF(Raw_Data!K363="","",IF(ISTEXT(Raw_Data!K363),IFERROR(DATE(VALUE(RIGHT(TRIM(Raw_Data!K363),4)),VALUE(MID(TRIM(Raw_Data!K363),4,2)),VALUE(LEFT(TRIM(Raw_Data!K363),2))),"CHECK"),Raw_Data!K363))</f>
        <v>46082</v>
      </c>
      <c r="L352" s="33" t="str">
        <f aca="false">IF(Raw_Data!L363="","",Raw_Data!L363)</f>
        <v>Requesting information about the criteria for shelter repair kits.</v>
      </c>
      <c r="M352" s="34" t="n">
        <f aca="false">IF(OR(B352="",K352=""),"",IFERROR(K352-B352,"CHECK"))</f>
        <v>4</v>
      </c>
      <c r="N352" s="34" t="n">
        <f aca="false">IFERROR(INDEX(Reference_Lists!$H$13:$H$14,MATCH(G352,Reference_Lists!$G$13:$G$14,0)),"UNMATCHED")</f>
        <v>15</v>
      </c>
      <c r="O352" s="35" t="b">
        <f aca="false">IF(AND(J352="Closed",ISNUMBER(M352),ISNUMBER(N352),M352&gt;=0),M352&lt;=N352,"NOT ASSESSED")</f>
        <v>1</v>
      </c>
      <c r="P352" s="36" t="str">
        <f aca="false">Raw_Data!A363</f>
        <v>CFM-2026-0144</v>
      </c>
      <c r="Q352" s="37" t="str">
        <f aca="false">IFERROR(IF(OR($A352="",$P352=""),"MISSING ID",IF(EXACT($A352,$P352),"ALIGNED","MISMATCH")),"CHECK")</f>
        <v>ALIGNED</v>
      </c>
    </row>
    <row r="353" customFormat="false" ht="19.5" hidden="false" customHeight="true" outlineLevel="0" collapsed="false">
      <c r="A353" s="29" t="s">
        <v>477</v>
      </c>
      <c r="B353" s="30" t="n">
        <f aca="false">IF(Raw_Data!B364="","",IF(ISTEXT(Raw_Data!B364),IFERROR(DATE(VALUE(RIGHT(TRIM(Raw_Data!B364),4)),VALUE(MID(TRIM(Raw_Data!B364),4,2)),VALUE(LEFT(TRIM(Raw_Data!B364),2))),"CHECK"),Raw_Data!B364))</f>
        <v>46055</v>
      </c>
      <c r="C353" s="31" t="str">
        <f aca="false">IFERROR(INDEX(Reference_Lists!$C$23:$C$35,MATCH(PROPER(TRIM(Raw_Data!C364)),Reference_Lists!$B$23:$B$35,0)),"UNMATCHED")</f>
        <v>Suggestion Box</v>
      </c>
      <c r="D353" s="31" t="str">
        <f aca="false">IFERROR(INDEX(Reference_Lists!$C$36:$C$50,MATCH(PROPER(TRIM(Raw_Data!D364)),Reference_Lists!$B$36:$B$50,0)),"UNMATCHED")</f>
        <v>Jabalia</v>
      </c>
      <c r="E353" s="31" t="str">
        <f aca="false">IF(Raw_Data!E364="","",Raw_Data!E364)</f>
        <v>Nutrition</v>
      </c>
      <c r="F353" s="31" t="str">
        <f aca="false">IF(Raw_Data!F364="","",Raw_Data!F364)</f>
        <v>Sensitive Complaint</v>
      </c>
      <c r="G353" s="32" t="str">
        <f aca="false">IF(Raw_Data!G364="","",Raw_Data!G364)</f>
        <v>Sensitive</v>
      </c>
      <c r="H353" s="32" t="str">
        <f aca="false">IFERROR(INDEX(Reference_Lists!$C$51:$C$57,MATCH(PROPER(TRIM(Raw_Data!H364)),Reference_Lists!$B$51:$B$57,0)),"UNMATCHED")</f>
        <v>Male</v>
      </c>
      <c r="I353" s="32" t="str">
        <f aca="false">IF(Raw_Data!I364="","",Raw_Data!I364)</f>
        <v>18-29</v>
      </c>
      <c r="J353" s="32" t="str">
        <f aca="false">IFERROR(INDEX(Reference_Lists!$C$58:$C$65,MATCH(PROPER(TRIM(Raw_Data!J364)),Reference_Lists!$B$58:$B$65,0)),"UNMATCHED")</f>
        <v>Closed</v>
      </c>
      <c r="K353" s="30" t="n">
        <f aca="false">IF(Raw_Data!K364="","",IF(ISTEXT(Raw_Data!K364),IFERROR(DATE(VALUE(RIGHT(TRIM(Raw_Data!K364),4)),VALUE(MID(TRIM(Raw_Data!K364),4,2)),VALUE(LEFT(TRIM(Raw_Data!K364),2))),"CHECK"),Raw_Data!K364))</f>
        <v>46049</v>
      </c>
      <c r="L353" s="33" t="str">
        <f aca="false">IF(Raw_Data!L364="","",Raw_Data!L364)</f>
        <v>Sensitive case - details recorded separately by the focal point; not stored in this tracker.</v>
      </c>
      <c r="M353" s="34" t="n">
        <f aca="false">IF(OR(B353="",K353=""),"",IFERROR(K353-B353,"CHECK"))</f>
        <v>-6</v>
      </c>
      <c r="N353" s="34" t="n">
        <f aca="false">IFERROR(INDEX(Reference_Lists!$H$13:$H$14,MATCH(G353,Reference_Lists!$G$13:$G$14,0)),"UNMATCHED")</f>
        <v>3</v>
      </c>
      <c r="O353" s="32" t="str">
        <f aca="false">IF(AND(J353="Closed",ISNUMBER(M353),ISNUMBER(N353),M353&gt;=0),M353&lt;=N353,"NOT ASSESSED")</f>
        <v>NOT ASSESSED</v>
      </c>
      <c r="P353" s="36" t="str">
        <f aca="false">Raw_Data!A364</f>
        <v>CFM-2026-0471</v>
      </c>
      <c r="Q353" s="37" t="str">
        <f aca="false">IFERROR(IF(OR($A353="",$P353=""),"MISSING ID",IF(EXACT($A353,$P353),"ALIGNED","MISMATCH")),"CHECK")</f>
        <v>ALIGNED</v>
      </c>
    </row>
    <row r="354" customFormat="false" ht="19.5" hidden="false" customHeight="true" outlineLevel="0" collapsed="false">
      <c r="A354" s="29" t="s">
        <v>478</v>
      </c>
      <c r="B354" s="30" t="n">
        <f aca="false">IF(Raw_Data!B365="","",IF(ISTEXT(Raw_Data!B365),IFERROR(DATE(VALUE(RIGHT(TRIM(Raw_Data!B365),4)),VALUE(MID(TRIM(Raw_Data!B365),4,2)),VALUE(LEFT(TRIM(Raw_Data!B365),2))),"CHECK"),Raw_Data!B365))</f>
        <v>46165</v>
      </c>
      <c r="C354" s="31" t="str">
        <f aca="false">IFERROR(INDEX(Reference_Lists!$C$23:$C$35,MATCH(PROPER(TRIM(Raw_Data!C365)),Reference_Lists!$B$23:$B$35,0)),"UNMATCHED")</f>
        <v>Phone Hotline</v>
      </c>
      <c r="D354" s="31" t="str">
        <f aca="false">IFERROR(INDEX(Reference_Lists!$C$36:$C$50,MATCH(PROPER(TRIM(Raw_Data!D365)),Reference_Lists!$B$36:$B$50,0)),"UNMATCHED")</f>
        <v>Jabalia</v>
      </c>
      <c r="E354" s="31" t="str">
        <f aca="false">IF(Raw_Data!E365="","",Raw_Data!E365)</f>
        <v>WASH</v>
      </c>
      <c r="F354" s="31" t="str">
        <f aca="false">IF(Raw_Data!F365="","",Raw_Data!F365)</f>
        <v>Appreciation</v>
      </c>
      <c r="G354" s="32" t="str">
        <f aca="false">IF(Raw_Data!G365="","",Raw_Data!G365)</f>
        <v>Non-Sensitive</v>
      </c>
      <c r="H354" s="32" t="str">
        <f aca="false">IFERROR(INDEX(Reference_Lists!$C$51:$C$57,MATCH(PROPER(TRIM(Raw_Data!H365)),Reference_Lists!$B$51:$B$57,0)),"UNMATCHED")</f>
        <v>Female</v>
      </c>
      <c r="I354" s="32" t="str">
        <f aca="false">IF(Raw_Data!I365="","",Raw_Data!I365)</f>
        <v>45-59</v>
      </c>
      <c r="J354" s="32" t="str">
        <f aca="false">IFERROR(INDEX(Reference_Lists!$C$58:$C$65,MATCH(PROPER(TRIM(Raw_Data!J365)),Reference_Lists!$B$58:$B$65,0)),"UNMATCHED")</f>
        <v>In Progress</v>
      </c>
      <c r="K354" s="30" t="str">
        <f aca="false">IF(Raw_Data!K365="","",IF(ISTEXT(Raw_Data!K365),IFERROR(DATE(VALUE(RIGHT(TRIM(Raw_Data!K365),4)),VALUE(MID(TRIM(Raw_Data!K365),4,2)),VALUE(LEFT(TRIM(Raw_Data!K365),2))),"CHECK"),Raw_Data!K365))</f>
        <v/>
      </c>
      <c r="L354" s="33" t="str">
        <f aca="false">IF(Raw_Data!L365="","",Raw_Data!L365)</f>
        <v>Requesting additional jerrycans for a shared shelter of four families.</v>
      </c>
      <c r="M354" s="34" t="str">
        <f aca="false">IF(OR(B354="",K354=""),"",IFERROR(K354-B354,"CHECK"))</f>
        <v/>
      </c>
      <c r="N354" s="34" t="n">
        <f aca="false">IFERROR(INDEX(Reference_Lists!$H$13:$H$14,MATCH(G354,Reference_Lists!$G$13:$G$14,0)),"UNMATCHED")</f>
        <v>15</v>
      </c>
      <c r="O354" s="32" t="str">
        <f aca="false">IF(AND(J354="Closed",ISNUMBER(M354),ISNUMBER(N354),M354&gt;=0),M354&lt;=N354,"NOT ASSESSED")</f>
        <v>NOT ASSESSED</v>
      </c>
      <c r="P354" s="36" t="str">
        <f aca="false">Raw_Data!A365</f>
        <v>CFM-2026-0485</v>
      </c>
      <c r="Q354" s="37" t="str">
        <f aca="false">IFERROR(IF(OR($A354="",$P354=""),"MISSING ID",IF(EXACT($A354,$P354),"ALIGNED","MISMATCH")),"CHECK")</f>
        <v>ALIGNED</v>
      </c>
    </row>
    <row r="355" customFormat="false" ht="19.5" hidden="false" customHeight="true" outlineLevel="0" collapsed="false">
      <c r="A355" s="29" t="s">
        <v>479</v>
      </c>
      <c r="B355" s="30" t="n">
        <f aca="false">IF(Raw_Data!B366="","",IF(ISTEXT(Raw_Data!B366),IFERROR(DATE(VALUE(RIGHT(TRIM(Raw_Data!B366),4)),VALUE(MID(TRIM(Raw_Data!B366),4,2)),VALUE(LEFT(TRIM(Raw_Data!B366),2))),"CHECK"),Raw_Data!B366))</f>
        <v>46147</v>
      </c>
      <c r="C355" s="31" t="str">
        <f aca="false">IFERROR(INDEX(Reference_Lists!$C$23:$C$35,MATCH(PROPER(TRIM(Raw_Data!C366)),Reference_Lists!$B$23:$B$35,0)),"UNMATCHED")</f>
        <v>Phone Hotline</v>
      </c>
      <c r="D355" s="31" t="str">
        <f aca="false">IFERROR(INDEX(Reference_Lists!$C$36:$C$50,MATCH(PROPER(TRIM(Raw_Data!D366)),Reference_Lists!$B$36:$B$50,0)),"UNMATCHED")</f>
        <v>Jabalia</v>
      </c>
      <c r="E355" s="31" t="str">
        <f aca="false">IF(Raw_Data!E366="","",Raw_Data!E366)</f>
        <v>Food Security</v>
      </c>
      <c r="F355" s="31" t="str">
        <f aca="false">IF(Raw_Data!F366="","",Raw_Data!F366)</f>
        <v>Complaint</v>
      </c>
      <c r="G355" s="32" t="str">
        <f aca="false">IF(Raw_Data!G366="","",Raw_Data!G366)</f>
        <v>Non-Sensitive</v>
      </c>
      <c r="H355" s="32" t="str">
        <f aca="false">IFERROR(INDEX(Reference_Lists!$C$51:$C$57,MATCH(PROPER(TRIM(Raw_Data!H366)),Reference_Lists!$B$51:$B$57,0)),"UNMATCHED")</f>
        <v>Male</v>
      </c>
      <c r="I355" s="32" t="str">
        <f aca="false">IF(Raw_Data!I366="","",Raw_Data!I366)</f>
        <v>18-29</v>
      </c>
      <c r="J355" s="32" t="str">
        <f aca="false">IFERROR(INDEX(Reference_Lists!$C$58:$C$65,MATCH(PROPER(TRIM(Raw_Data!J366)),Reference_Lists!$B$58:$B$65,0)),"UNMATCHED")</f>
        <v>In Progress</v>
      </c>
      <c r="K355" s="30" t="str">
        <f aca="false">IF(Raw_Data!K366="","",IF(ISTEXT(Raw_Data!K366),IFERROR(DATE(VALUE(RIGHT(TRIM(Raw_Data!K366),4)),VALUE(MID(TRIM(Raw_Data!K366),4,2)),VALUE(LEFT(TRIM(Raw_Data!K366),2))),"CHECK"),Raw_Data!K366))</f>
        <v/>
      </c>
      <c r="L355" s="33" t="str">
        <f aca="false">IF(Raw_Data!L366="","",Raw_Data!L366)</f>
        <v>Food parcel contents did not match the announced list.</v>
      </c>
      <c r="M355" s="34" t="str">
        <f aca="false">IF(OR(B355="",K355=""),"",IFERROR(K355-B355,"CHECK"))</f>
        <v/>
      </c>
      <c r="N355" s="34" t="n">
        <f aca="false">IFERROR(INDEX(Reference_Lists!$H$13:$H$14,MATCH(G355,Reference_Lists!$G$13:$G$14,0)),"UNMATCHED")</f>
        <v>15</v>
      </c>
      <c r="O355" s="32" t="str">
        <f aca="false">IF(AND(J355="Closed",ISNUMBER(M355),ISNUMBER(N355),M355&gt;=0),M355&lt;=N355,"NOT ASSESSED")</f>
        <v>NOT ASSESSED</v>
      </c>
      <c r="P355" s="36" t="str">
        <f aca="false">Raw_Data!A366</f>
        <v>CFM-2026-0299</v>
      </c>
      <c r="Q355" s="37" t="str">
        <f aca="false">IFERROR(IF(OR($A355="",$P355=""),"MISSING ID",IF(EXACT($A355,$P355),"ALIGNED","MISMATCH")),"CHECK")</f>
        <v>ALIGNED</v>
      </c>
    </row>
    <row r="356" customFormat="false" ht="19.5" hidden="false" customHeight="true" outlineLevel="0" collapsed="false">
      <c r="A356" s="29" t="s">
        <v>480</v>
      </c>
      <c r="B356" s="30" t="n">
        <f aca="false">IF(Raw_Data!B367="","",IF(ISTEXT(Raw_Data!B367),IFERROR(DATE(VALUE(RIGHT(TRIM(Raw_Data!B367),4)),VALUE(MID(TRIM(Raw_Data!B367),4,2)),VALUE(LEFT(TRIM(Raw_Data!B367),2))),"CHECK"),Raw_Data!B367))</f>
        <v>46198</v>
      </c>
      <c r="C356" s="31" t="str">
        <f aca="false">IFERROR(INDEX(Reference_Lists!$C$23:$C$35,MATCH(PROPER(TRIM(Raw_Data!C367)),Reference_Lists!$B$23:$B$35,0)),"UNMATCHED")</f>
        <v>In-Person at Distribution</v>
      </c>
      <c r="D356" s="31" t="str">
        <f aca="false">IFERROR(INDEX(Reference_Lists!$C$36:$C$50,MATCH(PROPER(TRIM(Raw_Data!D367)),Reference_Lists!$B$36:$B$50,0)),"UNMATCHED")</f>
        <v>Rafah</v>
      </c>
      <c r="E356" s="31" t="str">
        <f aca="false">IF(Raw_Data!E367="","",Raw_Data!E367)</f>
        <v>Food Security</v>
      </c>
      <c r="F356" s="31" t="str">
        <f aca="false">IF(Raw_Data!F367="","",Raw_Data!F367)</f>
        <v>Complaint</v>
      </c>
      <c r="G356" s="32" t="str">
        <f aca="false">IF(Raw_Data!G367="","",Raw_Data!G367)</f>
        <v>Non-Sensitive</v>
      </c>
      <c r="H356" s="32" t="str">
        <f aca="false">IFERROR(INDEX(Reference_Lists!$C$51:$C$57,MATCH(PROPER(TRIM(Raw_Data!H367)),Reference_Lists!$B$51:$B$57,0)),"UNMATCHED")</f>
        <v>Male</v>
      </c>
      <c r="I356" s="32" t="str">
        <f aca="false">IF(Raw_Data!I367="","",Raw_Data!I367)</f>
        <v>30-44</v>
      </c>
      <c r="J356" s="32" t="str">
        <f aca="false">IFERROR(INDEX(Reference_Lists!$C$58:$C$65,MATCH(PROPER(TRIM(Raw_Data!J367)),Reference_Lists!$B$58:$B$65,0)),"UNMATCHED")</f>
        <v>Closed</v>
      </c>
      <c r="K356" s="30" t="n">
        <f aca="false">IF(Raw_Data!K367="","",IF(ISTEXT(Raw_Data!K367),IFERROR(DATE(VALUE(RIGHT(TRIM(Raw_Data!K367),4)),VALUE(MID(TRIM(Raw_Data!K367),4,2)),VALUE(LEFT(TRIM(Raw_Data!K367),2))),"CHECK"),Raw_Data!K367))</f>
        <v>46215</v>
      </c>
      <c r="L356" s="33" t="str">
        <f aca="false">IF(Raw_Data!L367="","",Raw_Data!L367)</f>
        <v>Thanking the team for organising the last distribution well.</v>
      </c>
      <c r="M356" s="34" t="n">
        <f aca="false">IF(OR(B356="",K356=""),"",IFERROR(K356-B356,"CHECK"))</f>
        <v>17</v>
      </c>
      <c r="N356" s="34" t="n">
        <f aca="false">IFERROR(INDEX(Reference_Lists!$H$13:$H$14,MATCH(G356,Reference_Lists!$G$13:$G$14,0)),"UNMATCHED")</f>
        <v>15</v>
      </c>
      <c r="O356" s="35" t="b">
        <f aca="false">IF(AND(J356="Closed",ISNUMBER(M356),ISNUMBER(N356),M356&gt;=0),M356&lt;=N356,"NOT ASSESSED")</f>
        <v>0</v>
      </c>
      <c r="P356" s="36" t="str">
        <f aca="false">Raw_Data!A367</f>
        <v>CFM-2026-0277</v>
      </c>
      <c r="Q356" s="37" t="str">
        <f aca="false">IFERROR(IF(OR($A356="",$P356=""),"MISSING ID",IF(EXACT($A356,$P356),"ALIGNED","MISMATCH")),"CHECK")</f>
        <v>ALIGNED</v>
      </c>
    </row>
    <row r="357" customFormat="false" ht="19.5" hidden="false" customHeight="true" outlineLevel="0" collapsed="false">
      <c r="A357" s="29" t="s">
        <v>481</v>
      </c>
      <c r="B357" s="30" t="n">
        <f aca="false">IF(Raw_Data!B368="","",IF(ISTEXT(Raw_Data!B368),IFERROR(DATE(VALUE(RIGHT(TRIM(Raw_Data!B368),4)),VALUE(MID(TRIM(Raw_Data!B368),4,2)),VALUE(LEFT(TRIM(Raw_Data!B368),2))),"CHECK"),Raw_Data!B368))</f>
        <v>46055</v>
      </c>
      <c r="C357" s="31" t="str">
        <f aca="false">IFERROR(INDEX(Reference_Lists!$C$23:$C$35,MATCH(PROPER(TRIM(Raw_Data!C368)),Reference_Lists!$B$23:$B$35,0)),"UNMATCHED")</f>
        <v>Phone Hotline</v>
      </c>
      <c r="D357" s="31" t="str">
        <f aca="false">IFERROR(INDEX(Reference_Lists!$C$36:$C$50,MATCH(PROPER(TRIM(Raw_Data!D368)),Reference_Lists!$B$36:$B$50,0)),"UNMATCHED")</f>
        <v>Deir al-Balah</v>
      </c>
      <c r="E357" s="31" t="str">
        <f aca="false">IF(Raw_Data!E368="","",Raw_Data!E368)</f>
        <v>Health</v>
      </c>
      <c r="F357" s="31" t="str">
        <f aca="false">IF(Raw_Data!F368="","",Raw_Data!F368)</f>
        <v>Complaint</v>
      </c>
      <c r="G357" s="32" t="str">
        <f aca="false">IF(Raw_Data!G368="","",Raw_Data!G368)</f>
        <v>Non-Sensitive</v>
      </c>
      <c r="H357" s="32" t="str">
        <f aca="false">IFERROR(INDEX(Reference_Lists!$C$51:$C$57,MATCH(PROPER(TRIM(Raw_Data!H368)),Reference_Lists!$B$51:$B$57,0)),"UNMATCHED")</f>
        <v>Female</v>
      </c>
      <c r="I357" s="32" t="str">
        <f aca="false">IF(Raw_Data!I368="","",Raw_Data!I368)</f>
        <v>60+</v>
      </c>
      <c r="J357" s="32" t="str">
        <f aca="false">IFERROR(INDEX(Reference_Lists!$C$58:$C$65,MATCH(PROPER(TRIM(Raw_Data!J368)),Reference_Lists!$B$58:$B$65,0)),"UNMATCHED")</f>
        <v>Closed</v>
      </c>
      <c r="K357" s="30" t="n">
        <f aca="false">IF(Raw_Data!K368="","",IF(ISTEXT(Raw_Data!K368),IFERROR(DATE(VALUE(RIGHT(TRIM(Raw_Data!K368),4)),VALUE(MID(TRIM(Raw_Data!K368),4,2)),VALUE(LEFT(TRIM(Raw_Data!K368),2))),"CHECK"),Raw_Data!K368))</f>
        <v>46056</v>
      </c>
      <c r="L357" s="33" t="str">
        <f aca="false">IF(Raw_Data!L368="","",Raw_Data!L368)</f>
        <v>Requesting a referral pathway for a family member with limited mobility.</v>
      </c>
      <c r="M357" s="34" t="n">
        <f aca="false">IF(OR(B357="",K357=""),"",IFERROR(K357-B357,"CHECK"))</f>
        <v>1</v>
      </c>
      <c r="N357" s="34" t="n">
        <f aca="false">IFERROR(INDEX(Reference_Lists!$H$13:$H$14,MATCH(G357,Reference_Lists!$G$13:$G$14,0)),"UNMATCHED")</f>
        <v>15</v>
      </c>
      <c r="O357" s="35" t="b">
        <f aca="false">IF(AND(J357="Closed",ISNUMBER(M357),ISNUMBER(N357),M357&gt;=0),M357&lt;=N357,"NOT ASSESSED")</f>
        <v>1</v>
      </c>
      <c r="P357" s="36" t="str">
        <f aca="false">Raw_Data!A368</f>
        <v>CFM-2026-0326</v>
      </c>
      <c r="Q357" s="37" t="str">
        <f aca="false">IFERROR(IF(OR($A357="",$P357=""),"MISSING ID",IF(EXACT($A357,$P357),"ALIGNED","MISMATCH")),"CHECK")</f>
        <v>ALIGNED</v>
      </c>
    </row>
    <row r="358" customFormat="false" ht="19.5" hidden="false" customHeight="true" outlineLevel="0" collapsed="false">
      <c r="A358" s="29" t="s">
        <v>482</v>
      </c>
      <c r="B358" s="30" t="n">
        <f aca="false">IF(Raw_Data!B369="","",IF(ISTEXT(Raw_Data!B369),IFERROR(DATE(VALUE(RIGHT(TRIM(Raw_Data!B369),4)),VALUE(MID(TRIM(Raw_Data!B369),4,2)),VALUE(LEFT(TRIM(Raw_Data!B369),2))),"CHECK"),Raw_Data!B369))</f>
        <v>46057</v>
      </c>
      <c r="C358" s="31" t="str">
        <f aca="false">IFERROR(INDEX(Reference_Lists!$C$23:$C$35,MATCH(PROPER(TRIM(Raw_Data!C369)),Reference_Lists!$B$23:$B$35,0)),"UNMATCHED")</f>
        <v>Community Focal Point</v>
      </c>
      <c r="D358" s="31" t="str">
        <f aca="false">IFERROR(INDEX(Reference_Lists!$C$36:$C$50,MATCH(PROPER(TRIM(Raw_Data!D369)),Reference_Lists!$B$36:$B$50,0)),"UNMATCHED")</f>
        <v>Gaza City</v>
      </c>
      <c r="E358" s="31" t="str">
        <f aca="false">IF(Raw_Data!E369="","",Raw_Data!E369)</f>
        <v>Food Security</v>
      </c>
      <c r="F358" s="31" t="str">
        <f aca="false">IF(Raw_Data!F369="","",Raw_Data!F369)</f>
        <v>Sensitive Complaint</v>
      </c>
      <c r="G358" s="32" t="str">
        <f aca="false">IF(Raw_Data!G369="","",Raw_Data!G369)</f>
        <v>Sensitive</v>
      </c>
      <c r="H358" s="32" t="str">
        <f aca="false">IFERROR(INDEX(Reference_Lists!$C$51:$C$57,MATCH(PROPER(TRIM(Raw_Data!H369)),Reference_Lists!$B$51:$B$57,0)),"UNMATCHED")</f>
        <v>Female</v>
      </c>
      <c r="I358" s="32" t="str">
        <f aca="false">IF(Raw_Data!I369="","",Raw_Data!I369)</f>
        <v>45-59</v>
      </c>
      <c r="J358" s="32" t="str">
        <f aca="false">IFERROR(INDEX(Reference_Lists!$C$58:$C$65,MATCH(PROPER(TRIM(Raw_Data!J369)),Reference_Lists!$B$58:$B$65,0)),"UNMATCHED")</f>
        <v>Closed</v>
      </c>
      <c r="K358" s="30" t="n">
        <f aca="false">IF(Raw_Data!K369="","",IF(ISTEXT(Raw_Data!K369),IFERROR(DATE(VALUE(RIGHT(TRIM(Raw_Data!K369),4)),VALUE(MID(TRIM(Raw_Data!K369),4,2)),VALUE(LEFT(TRIM(Raw_Data!K369),2))),"CHECK"),Raw_Data!K369))</f>
        <v>46075</v>
      </c>
      <c r="L358" s="33" t="str">
        <f aca="false">IF(Raw_Data!L369="","",Raw_Data!L369)</f>
        <v>Sensitive case - details recorded separately by the focal point; not stored in this tracker.</v>
      </c>
      <c r="M358" s="34" t="n">
        <f aca="false">IF(OR(B358="",K358=""),"",IFERROR(K358-B358,"CHECK"))</f>
        <v>18</v>
      </c>
      <c r="N358" s="34" t="n">
        <f aca="false">IFERROR(INDEX(Reference_Lists!$H$13:$H$14,MATCH(G358,Reference_Lists!$G$13:$G$14,0)),"UNMATCHED")</f>
        <v>3</v>
      </c>
      <c r="O358" s="35" t="b">
        <f aca="false">IF(AND(J358="Closed",ISNUMBER(M358),ISNUMBER(N358),M358&gt;=0),M358&lt;=N358,"NOT ASSESSED")</f>
        <v>0</v>
      </c>
      <c r="P358" s="36" t="str">
        <f aca="false">Raw_Data!A369</f>
        <v>CFM-2026-0011</v>
      </c>
      <c r="Q358" s="37" t="str">
        <f aca="false">IFERROR(IF(OR($A358="",$P358=""),"MISSING ID",IF(EXACT($A358,$P358),"ALIGNED","MISMATCH")),"CHECK")</f>
        <v>ALIGNED</v>
      </c>
    </row>
    <row r="359" customFormat="false" ht="19.5" hidden="false" customHeight="true" outlineLevel="0" collapsed="false">
      <c r="A359" s="29" t="s">
        <v>483</v>
      </c>
      <c r="B359" s="30" t="n">
        <f aca="false">IF(Raw_Data!B370="","",IF(ISTEXT(Raw_Data!B370),IFERROR(DATE(VALUE(RIGHT(TRIM(Raw_Data!B370),4)),VALUE(MID(TRIM(Raw_Data!B370),4,2)),VALUE(LEFT(TRIM(Raw_Data!B370),2))),"CHECK"),Raw_Data!B370))</f>
        <v>46141</v>
      </c>
      <c r="C359" s="31" t="str">
        <f aca="false">IFERROR(INDEX(Reference_Lists!$C$23:$C$35,MATCH(PROPER(TRIM(Raw_Data!C370)),Reference_Lists!$B$23:$B$35,0)),"UNMATCHED")</f>
        <v>Community Focal Point</v>
      </c>
      <c r="D359" s="31" t="str">
        <f aca="false">IFERROR(INDEX(Reference_Lists!$C$36:$C$50,MATCH(PROPER(TRIM(Raw_Data!D370)),Reference_Lists!$B$36:$B$50,0)),"UNMATCHED")</f>
        <v>Gaza City</v>
      </c>
      <c r="E359" s="31" t="str">
        <f aca="false">IF(Raw_Data!E370="","",Raw_Data!E370)</f>
        <v>Shelter</v>
      </c>
      <c r="F359" s="31" t="str">
        <f aca="false">IF(Raw_Data!F370="","",Raw_Data!F370)</f>
        <v>Complaint</v>
      </c>
      <c r="G359" s="32" t="str">
        <f aca="false">IF(Raw_Data!G370="","",Raw_Data!G370)</f>
        <v>Non-Sensitive</v>
      </c>
      <c r="H359" s="32" t="str">
        <f aca="false">IFERROR(INDEX(Reference_Lists!$C$51:$C$57,MATCH(PROPER(TRIM(Raw_Data!H370)),Reference_Lists!$B$51:$B$57,0)),"UNMATCHED")</f>
        <v>Male</v>
      </c>
      <c r="I359" s="32" t="str">
        <f aca="false">IF(Raw_Data!I370="","",Raw_Data!I370)</f>
        <v>18-29</v>
      </c>
      <c r="J359" s="32" t="str">
        <f aca="false">IFERROR(INDEX(Reference_Lists!$C$58:$C$65,MATCH(PROPER(TRIM(Raw_Data!J370)),Reference_Lists!$B$58:$B$65,0)),"UNMATCHED")</f>
        <v>Closed</v>
      </c>
      <c r="K359" s="30" t="n">
        <f aca="false">IF(Raw_Data!K370="","",IF(ISTEXT(Raw_Data!K370),IFERROR(DATE(VALUE(RIGHT(TRIM(Raw_Data!K370),4)),VALUE(MID(TRIM(Raw_Data!K370),4,2)),VALUE(LEFT(TRIM(Raw_Data!K370),2))),"CHECK"),Raw_Data!K370))</f>
        <v>46147</v>
      </c>
      <c r="L359" s="33" t="str">
        <f aca="false">IF(Raw_Data!L370="","",Raw_Data!L370)</f>
        <v>Requesting information about the criteria for shelter repair kits.</v>
      </c>
      <c r="M359" s="34" t="n">
        <f aca="false">IF(OR(B359="",K359=""),"",IFERROR(K359-B359,"CHECK"))</f>
        <v>6</v>
      </c>
      <c r="N359" s="34" t="n">
        <f aca="false">IFERROR(INDEX(Reference_Lists!$H$13:$H$14,MATCH(G359,Reference_Lists!$G$13:$G$14,0)),"UNMATCHED")</f>
        <v>15</v>
      </c>
      <c r="O359" s="35" t="b">
        <f aca="false">IF(AND(J359="Closed",ISNUMBER(M359),ISNUMBER(N359),M359&gt;=0),M359&lt;=N359,"NOT ASSESSED")</f>
        <v>1</v>
      </c>
      <c r="P359" s="36" t="str">
        <f aca="false">Raw_Data!A370</f>
        <v>CFM-2026-0210</v>
      </c>
      <c r="Q359" s="37" t="str">
        <f aca="false">IFERROR(IF(OR($A359="",$P359=""),"MISSING ID",IF(EXACT($A359,$P359),"ALIGNED","MISMATCH")),"CHECK")</f>
        <v>ALIGNED</v>
      </c>
    </row>
    <row r="360" customFormat="false" ht="19.5" hidden="false" customHeight="true" outlineLevel="0" collapsed="false">
      <c r="A360" s="29" t="s">
        <v>484</v>
      </c>
      <c r="B360" s="30" t="n">
        <f aca="false">IF(Raw_Data!B371="","",IF(ISTEXT(Raw_Data!B371),IFERROR(DATE(VALUE(RIGHT(TRIM(Raw_Data!B371),4)),VALUE(MID(TRIM(Raw_Data!B371),4,2)),VALUE(LEFT(TRIM(Raw_Data!B371),2))),"CHECK"),Raw_Data!B371))</f>
        <v>46214</v>
      </c>
      <c r="C360" s="31" t="str">
        <f aca="false">IFERROR(INDEX(Reference_Lists!$C$23:$C$35,MATCH(PROPER(TRIM(Raw_Data!C371)),Reference_Lists!$B$23:$B$35,0)),"UNMATCHED")</f>
        <v>In-Person at Distribution</v>
      </c>
      <c r="D360" s="31" t="str">
        <f aca="false">IFERROR(INDEX(Reference_Lists!$C$36:$C$50,MATCH(PROPER(TRIM(Raw_Data!D371)),Reference_Lists!$B$36:$B$50,0)),"UNMATCHED")</f>
        <v>Jabalia</v>
      </c>
      <c r="E360" s="31" t="str">
        <f aca="false">IF(Raw_Data!E371="","",Raw_Data!E371)</f>
        <v>Shelter</v>
      </c>
      <c r="F360" s="31" t="str">
        <f aca="false">IF(Raw_Data!F371="","",Raw_Data!F371)</f>
        <v>Appreciation</v>
      </c>
      <c r="G360" s="32" t="str">
        <f aca="false">IF(Raw_Data!G371="","",Raw_Data!G371)</f>
        <v>Non-Sensitive</v>
      </c>
      <c r="H360" s="32" t="str">
        <f aca="false">IFERROR(INDEX(Reference_Lists!$C$51:$C$57,MATCH(PROPER(TRIM(Raw_Data!H371)),Reference_Lists!$B$51:$B$57,0)),"UNMATCHED")</f>
        <v>Female</v>
      </c>
      <c r="I360" s="32" t="str">
        <f aca="false">IF(Raw_Data!I371="","",Raw_Data!I371)</f>
        <v>18-29</v>
      </c>
      <c r="J360" s="32" t="str">
        <f aca="false">IFERROR(INDEX(Reference_Lists!$C$58:$C$65,MATCH(PROPER(TRIM(Raw_Data!J371)),Reference_Lists!$B$58:$B$65,0)),"UNMATCHED")</f>
        <v>Open</v>
      </c>
      <c r="K360" s="30" t="str">
        <f aca="false">IF(Raw_Data!K371="","",IF(ISTEXT(Raw_Data!K371),IFERROR(DATE(VALUE(RIGHT(TRIM(Raw_Data!K371),4)),VALUE(MID(TRIM(Raw_Data!K371),4,2)),VALUE(LEFT(TRIM(Raw_Data!K371),2))),"CHECK"),Raw_Data!K371))</f>
        <v/>
      </c>
      <c r="L360" s="33" t="str">
        <f aca="false">IF(Raw_Data!L371="","",Raw_Data!L371)</f>
        <v>Shelter kit delivered on time and the team explained the use clearly.</v>
      </c>
      <c r="M360" s="34" t="str">
        <f aca="false">IF(OR(B360="",K360=""),"",IFERROR(K360-B360,"CHECK"))</f>
        <v/>
      </c>
      <c r="N360" s="34" t="n">
        <f aca="false">IFERROR(INDEX(Reference_Lists!$H$13:$H$14,MATCH(G360,Reference_Lists!$G$13:$G$14,0)),"UNMATCHED")</f>
        <v>15</v>
      </c>
      <c r="O360" s="32" t="str">
        <f aca="false">IF(AND(J360="Closed",ISNUMBER(M360),ISNUMBER(N360),M360&gt;=0),M360&lt;=N360,"NOT ASSESSED")</f>
        <v>NOT ASSESSED</v>
      </c>
      <c r="P360" s="36" t="str">
        <f aca="false">Raw_Data!A371</f>
        <v>CFM-2026-0397</v>
      </c>
      <c r="Q360" s="37" t="str">
        <f aca="false">IFERROR(IF(OR($A360="",$P360=""),"MISSING ID",IF(EXACT($A360,$P360),"ALIGNED","MISMATCH")),"CHECK")</f>
        <v>ALIGNED</v>
      </c>
    </row>
    <row r="361" customFormat="false" ht="19.5" hidden="false" customHeight="true" outlineLevel="0" collapsed="false">
      <c r="A361" s="29" t="s">
        <v>485</v>
      </c>
      <c r="B361" s="30" t="n">
        <f aca="false">IF(Raw_Data!B372="","",IF(ISTEXT(Raw_Data!B372),IFERROR(DATE(VALUE(RIGHT(TRIM(Raw_Data!B372),4)),VALUE(MID(TRIM(Raw_Data!B372),4,2)),VALUE(LEFT(TRIM(Raw_Data!B372),2))),"CHECK"),Raw_Data!B372))</f>
        <v>46072</v>
      </c>
      <c r="C361" s="31" t="str">
        <f aca="false">IFERROR(INDEX(Reference_Lists!$C$23:$C$35,MATCH(PROPER(TRIM(Raw_Data!C372)),Reference_Lists!$B$23:$B$35,0)),"UNMATCHED")</f>
        <v>In-Person at Distribution</v>
      </c>
      <c r="D361" s="31" t="str">
        <f aca="false">IFERROR(INDEX(Reference_Lists!$C$36:$C$50,MATCH(PROPER(TRIM(Raw_Data!D372)),Reference_Lists!$B$36:$B$50,0)),"UNMATCHED")</f>
        <v>Jabalia</v>
      </c>
      <c r="E361" s="31" t="str">
        <f aca="false">IF(Raw_Data!E372="","",Raw_Data!E372)</f>
        <v>WASH</v>
      </c>
      <c r="F361" s="31" t="str">
        <f aca="false">IF(Raw_Data!F372="","",Raw_Data!F372)</f>
        <v>Sensitive Complaint</v>
      </c>
      <c r="G361" s="32" t="str">
        <f aca="false">IF(Raw_Data!G372="","",Raw_Data!G372)</f>
        <v>Sensitive</v>
      </c>
      <c r="H361" s="32" t="str">
        <f aca="false">IFERROR(INDEX(Reference_Lists!$C$51:$C$57,MATCH(PROPER(TRIM(Raw_Data!H372)),Reference_Lists!$B$51:$B$57,0)),"UNMATCHED")</f>
        <v>Male</v>
      </c>
      <c r="I361" s="32" t="str">
        <f aca="false">IF(Raw_Data!I372="","",Raw_Data!I372)</f>
        <v/>
      </c>
      <c r="J361" s="32" t="str">
        <f aca="false">IFERROR(INDEX(Reference_Lists!$C$58:$C$65,MATCH(PROPER(TRIM(Raw_Data!J372)),Reference_Lists!$B$58:$B$65,0)),"UNMATCHED")</f>
        <v>Closed</v>
      </c>
      <c r="K361" s="30" t="n">
        <f aca="false">IF(Raw_Data!K372="","",IF(ISTEXT(Raw_Data!K372),IFERROR(DATE(VALUE(RIGHT(TRIM(Raw_Data!K372),4)),VALUE(MID(TRIM(Raw_Data!K372),4,2)),VALUE(LEFT(TRIM(Raw_Data!K372),2))),"CHECK"),Raw_Data!K372))</f>
        <v>46089</v>
      </c>
      <c r="L361" s="33" t="str">
        <f aca="false">IF(Raw_Data!L372="","",Raw_Data!L372)</f>
        <v>Sensitive case - details recorded separately by the focal point; not stored in this tracker.</v>
      </c>
      <c r="M361" s="34" t="n">
        <f aca="false">IF(OR(B361="",K361=""),"",IFERROR(K361-B361,"CHECK"))</f>
        <v>17</v>
      </c>
      <c r="N361" s="34" t="n">
        <f aca="false">IFERROR(INDEX(Reference_Lists!$H$13:$H$14,MATCH(G361,Reference_Lists!$G$13:$G$14,0)),"UNMATCHED")</f>
        <v>3</v>
      </c>
      <c r="O361" s="35" t="b">
        <f aca="false">IF(AND(J361="Closed",ISNUMBER(M361),ISNUMBER(N361),M361&gt;=0),M361&lt;=N361,"NOT ASSESSED")</f>
        <v>0</v>
      </c>
      <c r="P361" s="36" t="str">
        <f aca="false">Raw_Data!A372</f>
        <v>CFM-2026-0315</v>
      </c>
      <c r="Q361" s="37" t="str">
        <f aca="false">IFERROR(IF(OR($A361="",$P361=""),"MISSING ID",IF(EXACT($A361,$P361),"ALIGNED","MISMATCH")),"CHECK")</f>
        <v>ALIGNED</v>
      </c>
    </row>
    <row r="362" customFormat="false" ht="19.5" hidden="false" customHeight="true" outlineLevel="0" collapsed="false">
      <c r="A362" s="29" t="s">
        <v>486</v>
      </c>
      <c r="B362" s="30" t="n">
        <f aca="false">IF(Raw_Data!B373="","",IF(ISTEXT(Raw_Data!B373),IFERROR(DATE(VALUE(RIGHT(TRIM(Raw_Data!B373),4)),VALUE(MID(TRIM(Raw_Data!B373),4,2)),VALUE(LEFT(TRIM(Raw_Data!B373),2))),"CHECK"),Raw_Data!B373))</f>
        <v>46055</v>
      </c>
      <c r="C362" s="31" t="str">
        <f aca="false">IFERROR(INDEX(Reference_Lists!$C$23:$C$35,MATCH(PROPER(TRIM(Raw_Data!C373)),Reference_Lists!$B$23:$B$35,0)),"UNMATCHED")</f>
        <v>Community Focal Point</v>
      </c>
      <c r="D362" s="31" t="str">
        <f aca="false">IFERROR(INDEX(Reference_Lists!$C$36:$C$50,MATCH(PROPER(TRIM(Raw_Data!D373)),Reference_Lists!$B$36:$B$50,0)),"UNMATCHED")</f>
        <v>Gaza City</v>
      </c>
      <c r="E362" s="31" t="str">
        <f aca="false">IF(Raw_Data!E373="","",Raw_Data!E373)</f>
        <v>Shelter</v>
      </c>
      <c r="F362" s="31" t="str">
        <f aca="false">IF(Raw_Data!F373="","",Raw_Data!F373)</f>
        <v>Request for Information</v>
      </c>
      <c r="G362" s="32" t="str">
        <f aca="false">IF(Raw_Data!G373="","",Raw_Data!G373)</f>
        <v>Non-Sensitive</v>
      </c>
      <c r="H362" s="32" t="str">
        <f aca="false">IFERROR(INDEX(Reference_Lists!$C$51:$C$57,MATCH(PROPER(TRIM(Raw_Data!H373)),Reference_Lists!$B$51:$B$57,0)),"UNMATCHED")</f>
        <v>Female</v>
      </c>
      <c r="I362" s="32" t="str">
        <f aca="false">IF(Raw_Data!I373="","",Raw_Data!I373)</f>
        <v>45-59</v>
      </c>
      <c r="J362" s="32" t="str">
        <f aca="false">IFERROR(INDEX(Reference_Lists!$C$58:$C$65,MATCH(PROPER(TRIM(Raw_Data!J373)),Reference_Lists!$B$58:$B$65,0)),"UNMATCHED")</f>
        <v>Open</v>
      </c>
      <c r="K362" s="30" t="str">
        <f aca="false">IF(Raw_Data!K373="","",IF(ISTEXT(Raw_Data!K373),IFERROR(DATE(VALUE(RIGHT(TRIM(Raw_Data!K373),4)),VALUE(MID(TRIM(Raw_Data!K373),4,2)),VALUE(LEFT(TRIM(Raw_Data!K373),2))),"CHECK"),Raw_Data!K373))</f>
        <v/>
      </c>
      <c r="L362" s="33" t="str">
        <f aca="false">IF(Raw_Data!L373="","",Raw_Data!L373)</f>
        <v>Requesting information about the criteria for shelter repair kits.</v>
      </c>
      <c r="M362" s="34" t="str">
        <f aca="false">IF(OR(B362="",K362=""),"",IFERROR(K362-B362,"CHECK"))</f>
        <v/>
      </c>
      <c r="N362" s="34" t="n">
        <f aca="false">IFERROR(INDEX(Reference_Lists!$H$13:$H$14,MATCH(G362,Reference_Lists!$G$13:$G$14,0)),"UNMATCHED")</f>
        <v>15</v>
      </c>
      <c r="O362" s="32" t="str">
        <f aca="false">IF(AND(J362="Closed",ISNUMBER(M362),ISNUMBER(N362),M362&gt;=0),M362&lt;=N362,"NOT ASSESSED")</f>
        <v>NOT ASSESSED</v>
      </c>
      <c r="P362" s="36" t="str">
        <f aca="false">Raw_Data!A373</f>
        <v>CFM-2026-0292</v>
      </c>
      <c r="Q362" s="37" t="str">
        <f aca="false">IFERROR(IF(OR($A362="",$P362=""),"MISSING ID",IF(EXACT($A362,$P362),"ALIGNED","MISMATCH")),"CHECK")</f>
        <v>ALIGNED</v>
      </c>
    </row>
    <row r="363" customFormat="false" ht="19.5" hidden="false" customHeight="true" outlineLevel="0" collapsed="false">
      <c r="A363" s="29" t="s">
        <v>487</v>
      </c>
      <c r="B363" s="30" t="n">
        <f aca="false">IF(Raw_Data!B374="","",IF(ISTEXT(Raw_Data!B374),IFERROR(DATE(VALUE(RIGHT(TRIM(Raw_Data!B374),4)),VALUE(MID(TRIM(Raw_Data!B374),4,2)),VALUE(LEFT(TRIM(Raw_Data!B374),2))),"CHECK"),Raw_Data!B374))</f>
        <v>46032</v>
      </c>
      <c r="C363" s="31" t="str">
        <f aca="false">IFERROR(INDEX(Reference_Lists!$C$23:$C$35,MATCH(PROPER(TRIM(Raw_Data!C374)),Reference_Lists!$B$23:$B$35,0)),"UNMATCHED")</f>
        <v>Phone Hotline</v>
      </c>
      <c r="D363" s="31" t="str">
        <f aca="false">IFERROR(INDEX(Reference_Lists!$C$36:$C$50,MATCH(PROPER(TRIM(Raw_Data!D374)),Reference_Lists!$B$36:$B$50,0)),"UNMATCHED")</f>
        <v>Gaza City</v>
      </c>
      <c r="E363" s="31" t="str">
        <f aca="false">IF(Raw_Data!E374="","",Raw_Data!E374)</f>
        <v>WASH</v>
      </c>
      <c r="F363" s="31" t="str">
        <f aca="false">IF(Raw_Data!F374="","",Raw_Data!F374)</f>
        <v>Request for Information</v>
      </c>
      <c r="G363" s="32" t="str">
        <f aca="false">IF(Raw_Data!G374="","",Raw_Data!G374)</f>
        <v>Non-Sensitive</v>
      </c>
      <c r="H363" s="32" t="str">
        <f aca="false">IFERROR(INDEX(Reference_Lists!$C$51:$C$57,MATCH(PROPER(TRIM(Raw_Data!H374)),Reference_Lists!$B$51:$B$57,0)),"UNMATCHED")</f>
        <v>Female</v>
      </c>
      <c r="I363" s="32" t="str">
        <f aca="false">IF(Raw_Data!I374="","",Raw_Data!I374)</f>
        <v>18-29</v>
      </c>
      <c r="J363" s="32" t="str">
        <f aca="false">IFERROR(INDEX(Reference_Lists!$C$58:$C$65,MATCH(PROPER(TRIM(Raw_Data!J374)),Reference_Lists!$B$58:$B$65,0)),"UNMATCHED")</f>
        <v>Closed</v>
      </c>
      <c r="K363" s="30" t="n">
        <f aca="false">IF(Raw_Data!K374="","",IF(ISTEXT(Raw_Data!K374),IFERROR(DATE(VALUE(RIGHT(TRIM(Raw_Data!K374),4)),VALUE(MID(TRIM(Raw_Data!K374),4,2)),VALUE(LEFT(TRIM(Raw_Data!K374),2))),"CHECK"),Raw_Data!K374))</f>
        <v>46034</v>
      </c>
      <c r="L363" s="33" t="str">
        <f aca="false">IF(Raw_Data!L374="","",Raw_Data!L374)</f>
        <v>Water truck did not arrive at the agreed time for three consecutive days.</v>
      </c>
      <c r="M363" s="34" t="n">
        <f aca="false">IF(OR(B363="",K363=""),"",IFERROR(K363-B363,"CHECK"))</f>
        <v>2</v>
      </c>
      <c r="N363" s="34" t="n">
        <f aca="false">IFERROR(INDEX(Reference_Lists!$H$13:$H$14,MATCH(G363,Reference_Lists!$G$13:$G$14,0)),"UNMATCHED")</f>
        <v>15</v>
      </c>
      <c r="O363" s="35" t="b">
        <f aca="false">IF(AND(J363="Closed",ISNUMBER(M363),ISNUMBER(N363),M363&gt;=0),M363&lt;=N363,"NOT ASSESSED")</f>
        <v>1</v>
      </c>
      <c r="P363" s="36" t="str">
        <f aca="false">Raw_Data!A374</f>
        <v>CFM-2026-0304</v>
      </c>
      <c r="Q363" s="37" t="str">
        <f aca="false">IFERROR(IF(OR($A363="",$P363=""),"MISSING ID",IF(EXACT($A363,$P363),"ALIGNED","MISMATCH")),"CHECK")</f>
        <v>ALIGNED</v>
      </c>
    </row>
    <row r="364" customFormat="false" ht="19.5" hidden="false" customHeight="true" outlineLevel="0" collapsed="false">
      <c r="A364" s="29" t="s">
        <v>488</v>
      </c>
      <c r="B364" s="30" t="n">
        <f aca="false">IF(Raw_Data!B375="","",IF(ISTEXT(Raw_Data!B375),IFERROR(DATE(VALUE(RIGHT(TRIM(Raw_Data!B375),4)),VALUE(MID(TRIM(Raw_Data!B375),4,2)),VALUE(LEFT(TRIM(Raw_Data!B375),2))),"CHECK"),Raw_Data!B375))</f>
        <v>46027</v>
      </c>
      <c r="C364" s="31" t="str">
        <f aca="false">IFERROR(INDEX(Reference_Lists!$C$23:$C$35,MATCH(PROPER(TRIM(Raw_Data!C375)),Reference_Lists!$B$23:$B$35,0)),"UNMATCHED")</f>
        <v>Community Focal Point</v>
      </c>
      <c r="D364" s="31" t="str">
        <f aca="false">IFERROR(INDEX(Reference_Lists!$C$36:$C$50,MATCH(PROPER(TRIM(Raw_Data!D375)),Reference_Lists!$B$36:$B$50,0)),"UNMATCHED")</f>
        <v>Deir al-Balah</v>
      </c>
      <c r="E364" s="31" t="str">
        <f aca="false">IF(Raw_Data!E375="","",Raw_Data!E375)</f>
        <v>Health</v>
      </c>
      <c r="F364" s="31" t="str">
        <f aca="false">IF(Raw_Data!F375="","",Raw_Data!F375)</f>
        <v>Suggestion</v>
      </c>
      <c r="G364" s="32" t="str">
        <f aca="false">IF(Raw_Data!G375="","",Raw_Data!G375)</f>
        <v>Non-Sensitive</v>
      </c>
      <c r="H364" s="32" t="str">
        <f aca="false">IFERROR(INDEX(Reference_Lists!$C$51:$C$57,MATCH(PROPER(TRIM(Raw_Data!H375)),Reference_Lists!$B$51:$B$57,0)),"UNMATCHED")</f>
        <v>Male</v>
      </c>
      <c r="I364" s="32" t="str">
        <f aca="false">IF(Raw_Data!I375="","",Raw_Data!I375)</f>
        <v>60+</v>
      </c>
      <c r="J364" s="32" t="str">
        <f aca="false">IFERROR(INDEX(Reference_Lists!$C$58:$C$65,MATCH(PROPER(TRIM(Raw_Data!J375)),Reference_Lists!$B$58:$B$65,0)),"UNMATCHED")</f>
        <v>Closed</v>
      </c>
      <c r="K364" s="30" t="n">
        <f aca="false">IF(Raw_Data!K375="","",IF(ISTEXT(Raw_Data!K375),IFERROR(DATE(VALUE(RIGHT(TRIM(Raw_Data!K375),4)),VALUE(MID(TRIM(Raw_Data!K375),4,2)),VALUE(LEFT(TRIM(Raw_Data!K375),2))),"CHECK"),Raw_Data!K375))</f>
        <v>46043</v>
      </c>
      <c r="L364" s="33" t="str">
        <f aca="false">IF(Raw_Data!L375="","",Raw_Data!L375)</f>
        <v>Requesting a referral pathway for a family member with limited mobility.</v>
      </c>
      <c r="M364" s="34" t="n">
        <f aca="false">IF(OR(B364="",K364=""),"",IFERROR(K364-B364,"CHECK"))</f>
        <v>16</v>
      </c>
      <c r="N364" s="34" t="n">
        <f aca="false">IFERROR(INDEX(Reference_Lists!$H$13:$H$14,MATCH(G364,Reference_Lists!$G$13:$G$14,0)),"UNMATCHED")</f>
        <v>15</v>
      </c>
      <c r="O364" s="35" t="b">
        <f aca="false">IF(AND(J364="Closed",ISNUMBER(M364),ISNUMBER(N364),M364&gt;=0),M364&lt;=N364,"NOT ASSESSED")</f>
        <v>0</v>
      </c>
      <c r="P364" s="36" t="str">
        <f aca="false">Raw_Data!A375</f>
        <v>CFM-2026-0122</v>
      </c>
      <c r="Q364" s="37" t="str">
        <f aca="false">IFERROR(IF(OR($A364="",$P364=""),"MISSING ID",IF(EXACT($A364,$P364),"ALIGNED","MISMATCH")),"CHECK")</f>
        <v>ALIGNED</v>
      </c>
    </row>
    <row r="365" customFormat="false" ht="19.5" hidden="false" customHeight="true" outlineLevel="0" collapsed="false">
      <c r="A365" s="29" t="s">
        <v>489</v>
      </c>
      <c r="B365" s="30" t="n">
        <f aca="false">IF(Raw_Data!B376="","",IF(ISTEXT(Raw_Data!B376),IFERROR(DATE(VALUE(RIGHT(TRIM(Raw_Data!B376),4)),VALUE(MID(TRIM(Raw_Data!B376),4,2)),VALUE(LEFT(TRIM(Raw_Data!B376),2))),"CHECK"),Raw_Data!B376))</f>
        <v>46188</v>
      </c>
      <c r="C365" s="31" t="str">
        <f aca="false">IFERROR(INDEX(Reference_Lists!$C$23:$C$35,MATCH(PROPER(TRIM(Raw_Data!C376)),Reference_Lists!$B$23:$B$35,0)),"UNMATCHED")</f>
        <v>Suggestion Box</v>
      </c>
      <c r="D365" s="31" t="str">
        <f aca="false">IFERROR(INDEX(Reference_Lists!$C$36:$C$50,MATCH(PROPER(TRIM(Raw_Data!D376)),Reference_Lists!$B$36:$B$50,0)),"UNMATCHED")</f>
        <v>Deir al-Balah</v>
      </c>
      <c r="E365" s="31" t="str">
        <f aca="false">IF(Raw_Data!E376="","",Raw_Data!E376)</f>
        <v>Food Security</v>
      </c>
      <c r="F365" s="31" t="str">
        <f aca="false">IF(Raw_Data!F376="","",Raw_Data!F376)</f>
        <v>Sensitive Complaint</v>
      </c>
      <c r="G365" s="32" t="str">
        <f aca="false">IF(Raw_Data!G376="","",Raw_Data!G376)</f>
        <v>Sensitive</v>
      </c>
      <c r="H365" s="32" t="str">
        <f aca="false">IFERROR(INDEX(Reference_Lists!$C$51:$C$57,MATCH(PROPER(TRIM(Raw_Data!H376)),Reference_Lists!$B$51:$B$57,0)),"UNMATCHED")</f>
        <v>Female</v>
      </c>
      <c r="I365" s="32" t="str">
        <f aca="false">IF(Raw_Data!I376="","",Raw_Data!I376)</f>
        <v>18-29</v>
      </c>
      <c r="J365" s="32" t="str">
        <f aca="false">IFERROR(INDEX(Reference_Lists!$C$58:$C$65,MATCH(PROPER(TRIM(Raw_Data!J376)),Reference_Lists!$B$58:$B$65,0)),"UNMATCHED")</f>
        <v>Closed</v>
      </c>
      <c r="K365" s="30" t="n">
        <f aca="false">IF(Raw_Data!K376="","",IF(ISTEXT(Raw_Data!K376),IFERROR(DATE(VALUE(RIGHT(TRIM(Raw_Data!K376),4)),VALUE(MID(TRIM(Raw_Data!K376),4,2)),VALUE(LEFT(TRIM(Raw_Data!K376),2))),"CHECK"),Raw_Data!K376))</f>
        <v>46189</v>
      </c>
      <c r="L365" s="33" t="str">
        <f aca="false">IF(Raw_Data!L376="","",Raw_Data!L376)</f>
        <v>Sensitive case - details recorded separately by the focal point; not stored in this tracker.</v>
      </c>
      <c r="M365" s="34" t="n">
        <f aca="false">IF(OR(B365="",K365=""),"",IFERROR(K365-B365,"CHECK"))</f>
        <v>1</v>
      </c>
      <c r="N365" s="34" t="n">
        <f aca="false">IFERROR(INDEX(Reference_Lists!$H$13:$H$14,MATCH(G365,Reference_Lists!$G$13:$G$14,0)),"UNMATCHED")</f>
        <v>3</v>
      </c>
      <c r="O365" s="35" t="b">
        <f aca="false">IF(AND(J365="Closed",ISNUMBER(M365),ISNUMBER(N365),M365&gt;=0),M365&lt;=N365,"NOT ASSESSED")</f>
        <v>1</v>
      </c>
      <c r="P365" s="36" t="str">
        <f aca="false">Raw_Data!A376</f>
        <v>CFM-2026-0253</v>
      </c>
      <c r="Q365" s="37" t="str">
        <f aca="false">IFERROR(IF(OR($A365="",$P365=""),"MISSING ID",IF(EXACT($A365,$P365),"ALIGNED","MISMATCH")),"CHECK")</f>
        <v>ALIGNED</v>
      </c>
    </row>
    <row r="366" customFormat="false" ht="19.5" hidden="false" customHeight="true" outlineLevel="0" collapsed="false">
      <c r="A366" s="29" t="s">
        <v>490</v>
      </c>
      <c r="B366" s="30" t="n">
        <f aca="false">IF(Raw_Data!B377="","",IF(ISTEXT(Raw_Data!B377),IFERROR(DATE(VALUE(RIGHT(TRIM(Raw_Data!B377),4)),VALUE(MID(TRIM(Raw_Data!B377),4,2)),VALUE(LEFT(TRIM(Raw_Data!B377),2))),"CHECK"),Raw_Data!B377))</f>
        <v>46071</v>
      </c>
      <c r="C366" s="31" t="str">
        <f aca="false">IFERROR(INDEX(Reference_Lists!$C$23:$C$35,MATCH(PROPER(TRIM(Raw_Data!C377)),Reference_Lists!$B$23:$B$35,0)),"UNMATCHED")</f>
        <v>Help Desk</v>
      </c>
      <c r="D366" s="31" t="str">
        <f aca="false">IFERROR(INDEX(Reference_Lists!$C$36:$C$50,MATCH(PROPER(TRIM(Raw_Data!D377)),Reference_Lists!$B$36:$B$50,0)),"UNMATCHED")</f>
        <v>Gaza City</v>
      </c>
      <c r="E366" s="31" t="str">
        <f aca="false">IF(Raw_Data!E377="","",Raw_Data!E377)</f>
        <v>WASH</v>
      </c>
      <c r="F366" s="31" t="str">
        <f aca="false">IF(Raw_Data!F377="","",Raw_Data!F377)</f>
        <v>Complaint</v>
      </c>
      <c r="G366" s="32" t="str">
        <f aca="false">IF(Raw_Data!G377="","",Raw_Data!G377)</f>
        <v>Non-Sensitive</v>
      </c>
      <c r="H366" s="32" t="str">
        <f aca="false">IFERROR(INDEX(Reference_Lists!$C$51:$C$57,MATCH(PROPER(TRIM(Raw_Data!H377)),Reference_Lists!$B$51:$B$57,0)),"UNMATCHED")</f>
        <v>Prefer not to say</v>
      </c>
      <c r="I366" s="32" t="str">
        <f aca="false">IF(Raw_Data!I377="","",Raw_Data!I377)</f>
        <v>45-59</v>
      </c>
      <c r="J366" s="32" t="str">
        <f aca="false">IFERROR(INDEX(Reference_Lists!$C$58:$C$65,MATCH(PROPER(TRIM(Raw_Data!J377)),Reference_Lists!$B$58:$B$65,0)),"UNMATCHED")</f>
        <v>Closed</v>
      </c>
      <c r="K366" s="30" t="n">
        <f aca="false">IF(Raw_Data!K377="","",IF(ISTEXT(Raw_Data!K377),IFERROR(DATE(VALUE(RIGHT(TRIM(Raw_Data!K377),4)),VALUE(MID(TRIM(Raw_Data!K377),4,2)),VALUE(LEFT(TRIM(Raw_Data!K377),2))),"CHECK"),Raw_Data!K377))</f>
        <v>46076</v>
      </c>
      <c r="L366" s="33" t="str">
        <f aca="false">IF(Raw_Data!L377="","",Raw_Data!L377)</f>
        <v>The queue at the water point is not organised and older people cannot wait.</v>
      </c>
      <c r="M366" s="34" t="n">
        <f aca="false">IF(OR(B366="",K366=""),"",IFERROR(K366-B366,"CHECK"))</f>
        <v>5</v>
      </c>
      <c r="N366" s="34" t="n">
        <f aca="false">IFERROR(INDEX(Reference_Lists!$H$13:$H$14,MATCH(G366,Reference_Lists!$G$13:$G$14,0)),"UNMATCHED")</f>
        <v>15</v>
      </c>
      <c r="O366" s="35" t="b">
        <f aca="false">IF(AND(J366="Closed",ISNUMBER(M366),ISNUMBER(N366),M366&gt;=0),M366&lt;=N366,"NOT ASSESSED")</f>
        <v>1</v>
      </c>
      <c r="P366" s="36" t="str">
        <f aca="false">Raw_Data!A377</f>
        <v>CFM-2026-0369</v>
      </c>
      <c r="Q366" s="37" t="str">
        <f aca="false">IFERROR(IF(OR($A366="",$P366=""),"MISSING ID",IF(EXACT($A366,$P366),"ALIGNED","MISMATCH")),"CHECK")</f>
        <v>ALIGNED</v>
      </c>
    </row>
    <row r="367" customFormat="false" ht="19.5" hidden="false" customHeight="true" outlineLevel="0" collapsed="false">
      <c r="A367" s="29" t="s">
        <v>491</v>
      </c>
      <c r="B367" s="30" t="n">
        <f aca="false">IF(Raw_Data!B378="","",IF(ISTEXT(Raw_Data!B378),IFERROR(DATE(VALUE(RIGHT(TRIM(Raw_Data!B378),4)),VALUE(MID(TRIM(Raw_Data!B378),4,2)),VALUE(LEFT(TRIM(Raw_Data!B378),2))),"CHECK"),Raw_Data!B378))</f>
        <v>46096</v>
      </c>
      <c r="C367" s="31" t="str">
        <f aca="false">IFERROR(INDEX(Reference_Lists!$C$23:$C$35,MATCH(PROPER(TRIM(Raw_Data!C378)),Reference_Lists!$B$23:$B$35,0)),"UNMATCHED")</f>
        <v>In-Person at Distribution</v>
      </c>
      <c r="D367" s="31" t="str">
        <f aca="false">IFERROR(INDEX(Reference_Lists!$C$36:$C$50,MATCH(PROPER(TRIM(Raw_Data!D378)),Reference_Lists!$B$36:$B$50,0)),"UNMATCHED")</f>
        <v>Khan Yunis</v>
      </c>
      <c r="E367" s="31" t="str">
        <f aca="false">IF(Raw_Data!E378="","",Raw_Data!E378)</f>
        <v>Shelter</v>
      </c>
      <c r="F367" s="31" t="str">
        <f aca="false">IF(Raw_Data!F378="","",Raw_Data!F378)</f>
        <v>Appreciation</v>
      </c>
      <c r="G367" s="32" t="str">
        <f aca="false">IF(Raw_Data!G378="","",Raw_Data!G378)</f>
        <v>Non-Sensitive</v>
      </c>
      <c r="H367" s="32" t="str">
        <f aca="false">IFERROR(INDEX(Reference_Lists!$C$51:$C$57,MATCH(PROPER(TRIM(Raw_Data!H378)),Reference_Lists!$B$51:$B$57,0)),"UNMATCHED")</f>
        <v>Male</v>
      </c>
      <c r="I367" s="32" t="str">
        <f aca="false">IF(Raw_Data!I378="","",Raw_Data!I378)</f>
        <v>60+</v>
      </c>
      <c r="J367" s="32" t="str">
        <f aca="false">IFERROR(INDEX(Reference_Lists!$C$58:$C$65,MATCH(PROPER(TRIM(Raw_Data!J378)),Reference_Lists!$B$58:$B$65,0)),"UNMATCHED")</f>
        <v>Open</v>
      </c>
      <c r="K367" s="30" t="str">
        <f aca="false">IF(Raw_Data!K378="","",IF(ISTEXT(Raw_Data!K378),IFERROR(DATE(VALUE(RIGHT(TRIM(Raw_Data!K378),4)),VALUE(MID(TRIM(Raw_Data!K378),4,2)),VALUE(LEFT(TRIM(Raw_Data!K378),2))),"CHECK"),Raw_Data!K378))</f>
        <v/>
      </c>
      <c r="L367" s="33" t="str">
        <f aca="false">IF(Raw_Data!L378="","",Raw_Data!L378)</f>
        <v>Tarpaulin received is torn and does not cover the shelter area.</v>
      </c>
      <c r="M367" s="34" t="str">
        <f aca="false">IF(OR(B367="",K367=""),"",IFERROR(K367-B367,"CHECK"))</f>
        <v/>
      </c>
      <c r="N367" s="34" t="n">
        <f aca="false">IFERROR(INDEX(Reference_Lists!$H$13:$H$14,MATCH(G367,Reference_Lists!$G$13:$G$14,0)),"UNMATCHED")</f>
        <v>15</v>
      </c>
      <c r="O367" s="32" t="str">
        <f aca="false">IF(AND(J367="Closed",ISNUMBER(M367),ISNUMBER(N367),M367&gt;=0),M367&lt;=N367,"NOT ASSESSED")</f>
        <v>NOT ASSESSED</v>
      </c>
      <c r="P367" s="36" t="str">
        <f aca="false">Raw_Data!A378</f>
        <v>CFM-2026-0224</v>
      </c>
      <c r="Q367" s="37" t="str">
        <f aca="false">IFERROR(IF(OR($A367="",$P367=""),"MISSING ID",IF(EXACT($A367,$P367),"ALIGNED","MISMATCH")),"CHECK")</f>
        <v>ALIGNED</v>
      </c>
    </row>
    <row r="368" customFormat="false" ht="19.5" hidden="false" customHeight="true" outlineLevel="0" collapsed="false">
      <c r="A368" s="29" t="s">
        <v>492</v>
      </c>
      <c r="B368" s="30" t="n">
        <f aca="false">IF(Raw_Data!B379="","",IF(ISTEXT(Raw_Data!B379),IFERROR(DATE(VALUE(RIGHT(TRIM(Raw_Data!B379),4)),VALUE(MID(TRIM(Raw_Data!B379),4,2)),VALUE(LEFT(TRIM(Raw_Data!B379),2))),"CHECK"),Raw_Data!B379))</f>
        <v>46157</v>
      </c>
      <c r="C368" s="31" t="str">
        <f aca="false">IFERROR(INDEX(Reference_Lists!$C$23:$C$35,MATCH(PROPER(TRIM(Raw_Data!C379)),Reference_Lists!$B$23:$B$35,0)),"UNMATCHED")</f>
        <v>In-Person at Distribution</v>
      </c>
      <c r="D368" s="31" t="str">
        <f aca="false">IFERROR(INDEX(Reference_Lists!$C$36:$C$50,MATCH(PROPER(TRIM(Raw_Data!D379)),Reference_Lists!$B$36:$B$50,0)),"UNMATCHED")</f>
        <v>Deir al-Balah</v>
      </c>
      <c r="E368" s="31" t="str">
        <f aca="false">IF(Raw_Data!E379="","",Raw_Data!E379)</f>
        <v>Food Security</v>
      </c>
      <c r="F368" s="31" t="str">
        <f aca="false">IF(Raw_Data!F379="","",Raw_Data!F379)</f>
        <v>Complaint</v>
      </c>
      <c r="G368" s="32" t="str">
        <f aca="false">IF(Raw_Data!G379="","",Raw_Data!G379)</f>
        <v>Non-Sensitive</v>
      </c>
      <c r="H368" s="32" t="str">
        <f aca="false">IFERROR(INDEX(Reference_Lists!$C$51:$C$57,MATCH(PROPER(TRIM(Raw_Data!H379)),Reference_Lists!$B$51:$B$57,0)),"UNMATCHED")</f>
        <v>Male</v>
      </c>
      <c r="I368" s="32" t="str">
        <f aca="false">IF(Raw_Data!I379="","",Raw_Data!I379)</f>
        <v>18-29</v>
      </c>
      <c r="J368" s="32" t="str">
        <f aca="false">IFERROR(INDEX(Reference_Lists!$C$58:$C$65,MATCH(PROPER(TRIM(Raw_Data!J379)),Reference_Lists!$B$58:$B$65,0)),"UNMATCHED")</f>
        <v>In Progress</v>
      </c>
      <c r="K368" s="30" t="str">
        <f aca="false">IF(Raw_Data!K379="","",IF(ISTEXT(Raw_Data!K379),IFERROR(DATE(VALUE(RIGHT(TRIM(Raw_Data!K379),4)),VALUE(MID(TRIM(Raw_Data!K379),4,2)),VALUE(LEFT(TRIM(Raw_Data!K379),2))),"CHECK"),Raw_Data!K379))</f>
        <v/>
      </c>
      <c r="L368" s="33" t="str">
        <f aca="false">IF(Raw_Data!L379="","",Raw_Data!L379)</f>
        <v>Food parcel contents did not match the announced list.</v>
      </c>
      <c r="M368" s="34" t="str">
        <f aca="false">IF(OR(B368="",K368=""),"",IFERROR(K368-B368,"CHECK"))</f>
        <v/>
      </c>
      <c r="N368" s="34" t="n">
        <f aca="false">IFERROR(INDEX(Reference_Lists!$H$13:$H$14,MATCH(G368,Reference_Lists!$G$13:$G$14,0)),"UNMATCHED")</f>
        <v>15</v>
      </c>
      <c r="O368" s="32" t="str">
        <f aca="false">IF(AND(J368="Closed",ISNUMBER(M368),ISNUMBER(N368),M368&gt;=0),M368&lt;=N368,"NOT ASSESSED")</f>
        <v>NOT ASSESSED</v>
      </c>
      <c r="P368" s="36" t="str">
        <f aca="false">Raw_Data!A379</f>
        <v>CFM-2026-0191</v>
      </c>
      <c r="Q368" s="37" t="str">
        <f aca="false">IFERROR(IF(OR($A368="",$P368=""),"MISSING ID",IF(EXACT($A368,$P368),"ALIGNED","MISMATCH")),"CHECK")</f>
        <v>ALIGNED</v>
      </c>
    </row>
    <row r="369" customFormat="false" ht="19.5" hidden="false" customHeight="true" outlineLevel="0" collapsed="false">
      <c r="A369" s="29" t="s">
        <v>493</v>
      </c>
      <c r="B369" s="30" t="n">
        <f aca="false">IF(Raw_Data!B380="","",IF(ISTEXT(Raw_Data!B380),IFERROR(DATE(VALUE(RIGHT(TRIM(Raw_Data!B380),4)),VALUE(MID(TRIM(Raw_Data!B380),4,2)),VALUE(LEFT(TRIM(Raw_Data!B380),2))),"CHECK"),Raw_Data!B380))</f>
        <v>46225</v>
      </c>
      <c r="C369" s="31" t="str">
        <f aca="false">IFERROR(INDEX(Reference_Lists!$C$23:$C$35,MATCH(PROPER(TRIM(Raw_Data!C380)),Reference_Lists!$B$23:$B$35,0)),"UNMATCHED")</f>
        <v>In-Person at Distribution</v>
      </c>
      <c r="D369" s="31" t="str">
        <f aca="false">IFERROR(INDEX(Reference_Lists!$C$36:$C$50,MATCH(PROPER(TRIM(Raw_Data!D380)),Reference_Lists!$B$36:$B$50,0)),"UNMATCHED")</f>
        <v>Gaza City</v>
      </c>
      <c r="E369" s="31" t="str">
        <f aca="false">IF(Raw_Data!E380="","",Raw_Data!E380)</f>
        <v>Shelter</v>
      </c>
      <c r="F369" s="31" t="str">
        <f aca="false">IF(Raw_Data!F380="","",Raw_Data!F380)</f>
        <v>Request for Information</v>
      </c>
      <c r="G369" s="32" t="str">
        <f aca="false">IF(Raw_Data!G380="","",Raw_Data!G380)</f>
        <v>Non-Sensitive</v>
      </c>
      <c r="H369" s="32" t="str">
        <f aca="false">IFERROR(INDEX(Reference_Lists!$C$51:$C$57,MATCH(PROPER(TRIM(Raw_Data!H380)),Reference_Lists!$B$51:$B$57,0)),"UNMATCHED")</f>
        <v>Female</v>
      </c>
      <c r="I369" s="32" t="str">
        <f aca="false">IF(Raw_Data!I380="","",Raw_Data!I380)</f>
        <v>30-44</v>
      </c>
      <c r="J369" s="32" t="str">
        <f aca="false">IFERROR(INDEX(Reference_Lists!$C$58:$C$65,MATCH(PROPER(TRIM(Raw_Data!J380)),Reference_Lists!$B$58:$B$65,0)),"UNMATCHED")</f>
        <v>Closed</v>
      </c>
      <c r="K369" s="30" t="n">
        <f aca="false">IF(Raw_Data!K380="","",IF(ISTEXT(Raw_Data!K380),IFERROR(DATE(VALUE(RIGHT(TRIM(Raw_Data!K380),4)),VALUE(MID(TRIM(Raw_Data!K380),4,2)),VALUE(LEFT(TRIM(Raw_Data!K380),2))),"CHECK"),Raw_Data!K380))</f>
        <v>46234</v>
      </c>
      <c r="L369" s="33" t="str">
        <f aca="false">IF(Raw_Data!L380="","",Raw_Data!L380)</f>
        <v>Requesting information about the criteria for shelter repair kits.</v>
      </c>
      <c r="M369" s="34" t="n">
        <f aca="false">IF(OR(B369="",K369=""),"",IFERROR(K369-B369,"CHECK"))</f>
        <v>9</v>
      </c>
      <c r="N369" s="34" t="n">
        <f aca="false">IFERROR(INDEX(Reference_Lists!$H$13:$H$14,MATCH(G369,Reference_Lists!$G$13:$G$14,0)),"UNMATCHED")</f>
        <v>15</v>
      </c>
      <c r="O369" s="35" t="b">
        <f aca="false">IF(AND(J369="Closed",ISNUMBER(M369),ISNUMBER(N369),M369&gt;=0),M369&lt;=N369,"NOT ASSESSED")</f>
        <v>1</v>
      </c>
      <c r="P369" s="36" t="str">
        <f aca="false">Raw_Data!A380</f>
        <v>CFM-2026-0318</v>
      </c>
      <c r="Q369" s="37" t="str">
        <f aca="false">IFERROR(IF(OR($A369="",$P369=""),"MISSING ID",IF(EXACT($A369,$P369),"ALIGNED","MISMATCH")),"CHECK")</f>
        <v>ALIGNED</v>
      </c>
    </row>
    <row r="370" customFormat="false" ht="19.5" hidden="false" customHeight="true" outlineLevel="0" collapsed="false">
      <c r="A370" s="29" t="s">
        <v>494</v>
      </c>
      <c r="B370" s="30" t="n">
        <f aca="false">IF(Raw_Data!B381="","",IF(ISTEXT(Raw_Data!B381),IFERROR(DATE(VALUE(RIGHT(TRIM(Raw_Data!B381),4)),VALUE(MID(TRIM(Raw_Data!B381),4,2)),VALUE(LEFT(TRIM(Raw_Data!B381),2))),"CHECK"),Raw_Data!B381))</f>
        <v>46029</v>
      </c>
      <c r="C370" s="31" t="str">
        <f aca="false">IFERROR(INDEX(Reference_Lists!$C$23:$C$35,MATCH(PROPER(TRIM(Raw_Data!C381)),Reference_Lists!$B$23:$B$35,0)),"UNMATCHED")</f>
        <v>In-Person at Distribution</v>
      </c>
      <c r="D370" s="31" t="str">
        <f aca="false">IFERROR(INDEX(Reference_Lists!$C$36:$C$50,MATCH(PROPER(TRIM(Raw_Data!D381)),Reference_Lists!$B$36:$B$50,0)),"UNMATCHED")</f>
        <v>Khan Yunis</v>
      </c>
      <c r="E370" s="31" t="str">
        <f aca="false">IF(Raw_Data!E381="","",Raw_Data!E381)</f>
        <v>Shelter</v>
      </c>
      <c r="F370" s="31" t="str">
        <f aca="false">IF(Raw_Data!F381="","",Raw_Data!F381)</f>
        <v>Complaint</v>
      </c>
      <c r="G370" s="32" t="str">
        <f aca="false">IF(Raw_Data!G381="","",Raw_Data!G381)</f>
        <v>Non-Sensitive</v>
      </c>
      <c r="H370" s="32" t="str">
        <f aca="false">IFERROR(INDEX(Reference_Lists!$C$51:$C$57,MATCH(PROPER(TRIM(Raw_Data!H381)),Reference_Lists!$B$51:$B$57,0)),"UNMATCHED")</f>
        <v>Female</v>
      </c>
      <c r="I370" s="32" t="str">
        <f aca="false">IF(Raw_Data!I381="","",Raw_Data!I381)</f>
        <v>18-29</v>
      </c>
      <c r="J370" s="32" t="str">
        <f aca="false">IFERROR(INDEX(Reference_Lists!$C$58:$C$65,MATCH(PROPER(TRIM(Raw_Data!J381)),Reference_Lists!$B$58:$B$65,0)),"UNMATCHED")</f>
        <v>Open</v>
      </c>
      <c r="K370" s="30" t="str">
        <f aca="false">IF(Raw_Data!K381="","",IF(ISTEXT(Raw_Data!K381),IFERROR(DATE(VALUE(RIGHT(TRIM(Raw_Data!K381),4)),VALUE(MID(TRIM(Raw_Data!K381),4,2)),VALUE(LEFT(TRIM(Raw_Data!K381),2))),"CHECK"),Raw_Data!K381))</f>
        <v/>
      </c>
      <c r="L370" s="33" t="str">
        <f aca="false">IF(Raw_Data!L381="","",Raw_Data!L381)</f>
        <v>Tarpaulin received is torn and does not cover the shelter area.</v>
      </c>
      <c r="M370" s="34" t="str">
        <f aca="false">IF(OR(B370="",K370=""),"",IFERROR(K370-B370,"CHECK"))</f>
        <v/>
      </c>
      <c r="N370" s="34" t="n">
        <f aca="false">IFERROR(INDEX(Reference_Lists!$H$13:$H$14,MATCH(G370,Reference_Lists!$G$13:$G$14,0)),"UNMATCHED")</f>
        <v>15</v>
      </c>
      <c r="O370" s="32" t="str">
        <f aca="false">IF(AND(J370="Closed",ISNUMBER(M370),ISNUMBER(N370),M370&gt;=0),M370&lt;=N370,"NOT ASSESSED")</f>
        <v>NOT ASSESSED</v>
      </c>
      <c r="P370" s="36" t="str">
        <f aca="false">Raw_Data!A381</f>
        <v>CFM-2026-0233</v>
      </c>
      <c r="Q370" s="37" t="str">
        <f aca="false">IFERROR(IF(OR($A370="",$P370=""),"MISSING ID",IF(EXACT($A370,$P370),"ALIGNED","MISMATCH")),"CHECK")</f>
        <v>ALIGNED</v>
      </c>
    </row>
    <row r="371" customFormat="false" ht="19.5" hidden="false" customHeight="true" outlineLevel="0" collapsed="false">
      <c r="A371" s="29" t="s">
        <v>495</v>
      </c>
      <c r="B371" s="30" t="n">
        <f aca="false">IF(Raw_Data!B382="","",IF(ISTEXT(Raw_Data!B382),IFERROR(DATE(VALUE(RIGHT(TRIM(Raw_Data!B382),4)),VALUE(MID(TRIM(Raw_Data!B382),4,2)),VALUE(LEFT(TRIM(Raw_Data!B382),2))),"CHECK"),Raw_Data!B382))</f>
        <v>46067</v>
      </c>
      <c r="C371" s="31" t="str">
        <f aca="false">IFERROR(INDEX(Reference_Lists!$C$23:$C$35,MATCH(PROPER(TRIM(Raw_Data!C382)),Reference_Lists!$B$23:$B$35,0)),"UNMATCHED")</f>
        <v>Community Focal Point</v>
      </c>
      <c r="D371" s="31" t="str">
        <f aca="false">IFERROR(INDEX(Reference_Lists!$C$36:$C$50,MATCH(PROPER(TRIM(Raw_Data!D382)),Reference_Lists!$B$36:$B$50,0)),"UNMATCHED")</f>
        <v>Khan Yunis</v>
      </c>
      <c r="E371" s="31" t="str">
        <f aca="false">IF(Raw_Data!E382="","",Raw_Data!E382)</f>
        <v>Shelter</v>
      </c>
      <c r="F371" s="31" t="str">
        <f aca="false">IF(Raw_Data!F382="","",Raw_Data!F382)</f>
        <v>Request for Information</v>
      </c>
      <c r="G371" s="32" t="str">
        <f aca="false">IF(Raw_Data!G382="","",Raw_Data!G382)</f>
        <v>Non-Sensitive</v>
      </c>
      <c r="H371" s="32" t="str">
        <f aca="false">IFERROR(INDEX(Reference_Lists!$C$51:$C$57,MATCH(PROPER(TRIM(Raw_Data!H382)),Reference_Lists!$B$51:$B$57,0)),"UNMATCHED")</f>
        <v>Female</v>
      </c>
      <c r="I371" s="32" t="str">
        <f aca="false">IF(Raw_Data!I382="","",Raw_Data!I382)</f>
        <v>18-29</v>
      </c>
      <c r="J371" s="32" t="str">
        <f aca="false">IFERROR(INDEX(Reference_Lists!$C$58:$C$65,MATCH(PROPER(TRIM(Raw_Data!J382)),Reference_Lists!$B$58:$B$65,0)),"UNMATCHED")</f>
        <v>Closed</v>
      </c>
      <c r="K371" s="30" t="n">
        <f aca="false">IF(Raw_Data!K382="","",IF(ISTEXT(Raw_Data!K382),IFERROR(DATE(VALUE(RIGHT(TRIM(Raw_Data!K382),4)),VALUE(MID(TRIM(Raw_Data!K382),4,2)),VALUE(LEFT(TRIM(Raw_Data!K382),2))),"CHECK"),Raw_Data!K382))</f>
        <v>46065</v>
      </c>
      <c r="L371" s="33" t="str">
        <f aca="false">IF(Raw_Data!L382="","",Raw_Data!L382)</f>
        <v>Tarpaulin received is torn and does not cover the shelter area.</v>
      </c>
      <c r="M371" s="34" t="n">
        <f aca="false">IF(OR(B371="",K371=""),"",IFERROR(K371-B371,"CHECK"))</f>
        <v>-2</v>
      </c>
      <c r="N371" s="34" t="n">
        <f aca="false">IFERROR(INDEX(Reference_Lists!$H$13:$H$14,MATCH(G371,Reference_Lists!$G$13:$G$14,0)),"UNMATCHED")</f>
        <v>15</v>
      </c>
      <c r="O371" s="32" t="str">
        <f aca="false">IF(AND(J371="Closed",ISNUMBER(M371),ISNUMBER(N371),M371&gt;=0),M371&lt;=N371,"NOT ASSESSED")</f>
        <v>NOT ASSESSED</v>
      </c>
      <c r="P371" s="36" t="str">
        <f aca="false">Raw_Data!A382</f>
        <v>CFM-2026-0039</v>
      </c>
      <c r="Q371" s="37" t="str">
        <f aca="false">IFERROR(IF(OR($A371="",$P371=""),"MISSING ID",IF(EXACT($A371,$P371),"ALIGNED","MISMATCH")),"CHECK")</f>
        <v>ALIGNED</v>
      </c>
    </row>
    <row r="372" customFormat="false" ht="19.5" hidden="false" customHeight="true" outlineLevel="0" collapsed="false">
      <c r="A372" s="29" t="s">
        <v>496</v>
      </c>
      <c r="B372" s="30" t="n">
        <f aca="false">IF(Raw_Data!B383="","",IF(ISTEXT(Raw_Data!B383),IFERROR(DATE(VALUE(RIGHT(TRIM(Raw_Data!B383),4)),VALUE(MID(TRIM(Raw_Data!B383),4,2)),VALUE(LEFT(TRIM(Raw_Data!B383),2))),"CHECK"),Raw_Data!B383))</f>
        <v>46175</v>
      </c>
      <c r="C372" s="31" t="str">
        <f aca="false">IFERROR(INDEX(Reference_Lists!$C$23:$C$35,MATCH(PROPER(TRIM(Raw_Data!C383)),Reference_Lists!$B$23:$B$35,0)),"UNMATCHED")</f>
        <v>Phone Hotline</v>
      </c>
      <c r="D372" s="31" t="str">
        <f aca="false">IFERROR(INDEX(Reference_Lists!$C$36:$C$50,MATCH(PROPER(TRIM(Raw_Data!D383)),Reference_Lists!$B$36:$B$50,0)),"UNMATCHED")</f>
        <v>Gaza City</v>
      </c>
      <c r="E372" s="31" t="str">
        <f aca="false">IF(Raw_Data!E383="","",Raw_Data!E383)</f>
        <v>Health</v>
      </c>
      <c r="F372" s="31" t="str">
        <f aca="false">IF(Raw_Data!F383="","",Raw_Data!F383)</f>
        <v>Suggestion</v>
      </c>
      <c r="G372" s="32" t="str">
        <f aca="false">IF(Raw_Data!G383="","",Raw_Data!G383)</f>
        <v>Non-Sensitive</v>
      </c>
      <c r="H372" s="32" t="str">
        <f aca="false">IFERROR(INDEX(Reference_Lists!$C$51:$C$57,MATCH(PROPER(TRIM(Raw_Data!H383)),Reference_Lists!$B$51:$B$57,0)),"UNMATCHED")</f>
        <v>Male</v>
      </c>
      <c r="I372" s="32" t="str">
        <f aca="false">IF(Raw_Data!I383="","",Raw_Data!I383)</f>
        <v>30-44</v>
      </c>
      <c r="J372" s="32" t="str">
        <f aca="false">IFERROR(INDEX(Reference_Lists!$C$58:$C$65,MATCH(PROPER(TRIM(Raw_Data!J383)),Reference_Lists!$B$58:$B$65,0)),"UNMATCHED")</f>
        <v>Referred</v>
      </c>
      <c r="K372" s="30" t="str">
        <f aca="false">IF(Raw_Data!K383="","",IF(ISTEXT(Raw_Data!K383),IFERROR(DATE(VALUE(RIGHT(TRIM(Raw_Data!K383),4)),VALUE(MID(TRIM(Raw_Data!K383),4,2)),VALUE(LEFT(TRIM(Raw_Data!K383),2))),"CHECK"),Raw_Data!K383))</f>
        <v/>
      </c>
      <c r="L372" s="33" t="str">
        <f aca="false">IF(Raw_Data!L383="","",Raw_Data!L383)</f>
        <v>Requesting a referral pathway for a family member with limited mobility.</v>
      </c>
      <c r="M372" s="34" t="str">
        <f aca="false">IF(OR(B372="",K372=""),"",IFERROR(K372-B372,"CHECK"))</f>
        <v/>
      </c>
      <c r="N372" s="34" t="n">
        <f aca="false">IFERROR(INDEX(Reference_Lists!$H$13:$H$14,MATCH(G372,Reference_Lists!$G$13:$G$14,0)),"UNMATCHED")</f>
        <v>15</v>
      </c>
      <c r="O372" s="32" t="str">
        <f aca="false">IF(AND(J372="Closed",ISNUMBER(M372),ISNUMBER(N372),M372&gt;=0),M372&lt;=N372,"NOT ASSESSED")</f>
        <v>NOT ASSESSED</v>
      </c>
      <c r="P372" s="36" t="str">
        <f aca="false">Raw_Data!A383</f>
        <v>CFM-2026-0057</v>
      </c>
      <c r="Q372" s="37" t="str">
        <f aca="false">IFERROR(IF(OR($A372="",$P372=""),"MISSING ID",IF(EXACT($A372,$P372),"ALIGNED","MISMATCH")),"CHECK")</f>
        <v>ALIGNED</v>
      </c>
    </row>
    <row r="373" customFormat="false" ht="19.5" hidden="false" customHeight="true" outlineLevel="0" collapsed="false">
      <c r="A373" s="29" t="s">
        <v>497</v>
      </c>
      <c r="B373" s="30" t="n">
        <f aca="false">IF(Raw_Data!B384="","",IF(ISTEXT(Raw_Data!B384),IFERROR(DATE(VALUE(RIGHT(TRIM(Raw_Data!B384),4)),VALUE(MID(TRIM(Raw_Data!B384),4,2)),VALUE(LEFT(TRIM(Raw_Data!B384),2))),"CHECK"),Raw_Data!B384))</f>
        <v>46200</v>
      </c>
      <c r="C373" s="31" t="str">
        <f aca="false">IFERROR(INDEX(Reference_Lists!$C$23:$C$35,MATCH(PROPER(TRIM(Raw_Data!C384)),Reference_Lists!$B$23:$B$35,0)),"UNMATCHED")</f>
        <v>Community Focal Point</v>
      </c>
      <c r="D373" s="31" t="str">
        <f aca="false">IFERROR(INDEX(Reference_Lists!$C$36:$C$50,MATCH(PROPER(TRIM(Raw_Data!D384)),Reference_Lists!$B$36:$B$50,0)),"UNMATCHED")</f>
        <v>Jabalia</v>
      </c>
      <c r="E373" s="31" t="str">
        <f aca="false">IF(Raw_Data!E384="","",Raw_Data!E384)</f>
        <v>WASH</v>
      </c>
      <c r="F373" s="31" t="str">
        <f aca="false">IF(Raw_Data!F384="","",Raw_Data!F384)</f>
        <v>Complaint</v>
      </c>
      <c r="G373" s="32" t="str">
        <f aca="false">IF(Raw_Data!G384="","",Raw_Data!G384)</f>
        <v>Non-Sensitive</v>
      </c>
      <c r="H373" s="32" t="str">
        <f aca="false">IFERROR(INDEX(Reference_Lists!$C$51:$C$57,MATCH(PROPER(TRIM(Raw_Data!H384)),Reference_Lists!$B$51:$B$57,0)),"UNMATCHED")</f>
        <v>Male</v>
      </c>
      <c r="I373" s="32" t="str">
        <f aca="false">IF(Raw_Data!I384="","",Raw_Data!I384)</f>
        <v>30-44</v>
      </c>
      <c r="J373" s="32" t="str">
        <f aca="false">IFERROR(INDEX(Reference_Lists!$C$58:$C$65,MATCH(PROPER(TRIM(Raw_Data!J384)),Reference_Lists!$B$58:$B$65,0)),"UNMATCHED")</f>
        <v>Referred</v>
      </c>
      <c r="K373" s="30" t="str">
        <f aca="false">IF(Raw_Data!K384="","",IF(ISTEXT(Raw_Data!K384),IFERROR(DATE(VALUE(RIGHT(TRIM(Raw_Data!K384),4)),VALUE(MID(TRIM(Raw_Data!K384),4,2)),VALUE(LEFT(TRIM(Raw_Data!K384),2))),"CHECK"),Raw_Data!K384))</f>
        <v/>
      </c>
      <c r="L373" s="33" t="str">
        <f aca="false">IF(Raw_Data!L384="","",Raw_Data!L384)</f>
        <v>The queue at the water point is not organised and older people cannot wait.</v>
      </c>
      <c r="M373" s="34" t="str">
        <f aca="false">IF(OR(B373="",K373=""),"",IFERROR(K373-B373,"CHECK"))</f>
        <v/>
      </c>
      <c r="N373" s="34" t="n">
        <f aca="false">IFERROR(INDEX(Reference_Lists!$H$13:$H$14,MATCH(G373,Reference_Lists!$G$13:$G$14,0)),"UNMATCHED")</f>
        <v>15</v>
      </c>
      <c r="O373" s="32" t="str">
        <f aca="false">IF(AND(J373="Closed",ISNUMBER(M373),ISNUMBER(N373),M373&gt;=0),M373&lt;=N373,"NOT ASSESSED")</f>
        <v>NOT ASSESSED</v>
      </c>
      <c r="P373" s="36" t="str">
        <f aca="false">Raw_Data!A384</f>
        <v>CFM-2026-0325</v>
      </c>
      <c r="Q373" s="37" t="str">
        <f aca="false">IFERROR(IF(OR($A373="",$P373=""),"MISSING ID",IF(EXACT($A373,$P373),"ALIGNED","MISMATCH")),"CHECK")</f>
        <v>ALIGNED</v>
      </c>
    </row>
    <row r="374" customFormat="false" ht="19.5" hidden="false" customHeight="true" outlineLevel="0" collapsed="false">
      <c r="A374" s="29" t="s">
        <v>498</v>
      </c>
      <c r="B374" s="30" t="n">
        <f aca="false">IF(Raw_Data!B385="","",IF(ISTEXT(Raw_Data!B385),IFERROR(DATE(VALUE(RIGHT(TRIM(Raw_Data!B385),4)),VALUE(MID(TRIM(Raw_Data!B385),4,2)),VALUE(LEFT(TRIM(Raw_Data!B385),2))),"CHECK"),Raw_Data!B385))</f>
        <v>46109</v>
      </c>
      <c r="C374" s="31" t="str">
        <f aca="false">IFERROR(INDEX(Reference_Lists!$C$23:$C$35,MATCH(PROPER(TRIM(Raw_Data!C385)),Reference_Lists!$B$23:$B$35,0)),"UNMATCHED")</f>
        <v>Community Focal Point</v>
      </c>
      <c r="D374" s="31" t="str">
        <f aca="false">IFERROR(INDEX(Reference_Lists!$C$36:$C$50,MATCH(PROPER(TRIM(Raw_Data!D385)),Reference_Lists!$B$36:$B$50,0)),"UNMATCHED")</f>
        <v>Deir al-Balah</v>
      </c>
      <c r="E374" s="31" t="str">
        <f aca="false">IF(Raw_Data!E385="","",Raw_Data!E385)</f>
        <v>Food Security</v>
      </c>
      <c r="F374" s="31" t="str">
        <f aca="false">IF(Raw_Data!F385="","",Raw_Data!F385)</f>
        <v>Complaint</v>
      </c>
      <c r="G374" s="32" t="str">
        <f aca="false">IF(Raw_Data!G385="","",Raw_Data!G385)</f>
        <v/>
      </c>
      <c r="H374" s="32" t="str">
        <f aca="false">IFERROR(INDEX(Reference_Lists!$C$51:$C$57,MATCH(PROPER(TRIM(Raw_Data!H385)),Reference_Lists!$B$51:$B$57,0)),"UNMATCHED")</f>
        <v>Male</v>
      </c>
      <c r="I374" s="32" t="str">
        <f aca="false">IF(Raw_Data!I385="","",Raw_Data!I385)</f>
        <v>60+</v>
      </c>
      <c r="J374" s="32" t="str">
        <f aca="false">IFERROR(INDEX(Reference_Lists!$C$58:$C$65,MATCH(PROPER(TRIM(Raw_Data!J385)),Reference_Lists!$B$58:$B$65,0)),"UNMATCHED")</f>
        <v>Closed</v>
      </c>
      <c r="K374" s="30" t="n">
        <f aca="false">IF(Raw_Data!K385="","",IF(ISTEXT(Raw_Data!K385),IFERROR(DATE(VALUE(RIGHT(TRIM(Raw_Data!K385),4)),VALUE(MID(TRIM(Raw_Data!K385),4,2)),VALUE(LEFT(TRIM(Raw_Data!K385),2))),"CHECK"),Raw_Data!K385))</f>
        <v>46102</v>
      </c>
      <c r="L374" s="33" t="str">
        <f aca="false">IF(Raw_Data!L385="","",Raw_Data!L385)</f>
        <v>Asking how the beneficiary list for the next round is prepared.</v>
      </c>
      <c r="M374" s="34" t="n">
        <f aca="false">IF(OR(B374="",K374=""),"",IFERROR(K374-B374,"CHECK"))</f>
        <v>-7</v>
      </c>
      <c r="N374" s="34" t="str">
        <f aca="false">IFERROR(INDEX(Reference_Lists!$H$13:$H$14,MATCH(G374,Reference_Lists!$G$13:$G$14,0)),"UNMATCHED")</f>
        <v>UNMATCHED</v>
      </c>
      <c r="O374" s="32" t="str">
        <f aca="false">IF(AND(J374="Closed",ISNUMBER(M374),ISNUMBER(N374),M374&gt;=0),M374&lt;=N374,"NOT ASSESSED")</f>
        <v>NOT ASSESSED</v>
      </c>
      <c r="P374" s="36" t="str">
        <f aca="false">Raw_Data!A385</f>
        <v>CFM-2026-0150</v>
      </c>
      <c r="Q374" s="37" t="str">
        <f aca="false">IFERROR(IF(OR($A374="",$P374=""),"MISSING ID",IF(EXACT($A374,$P374),"ALIGNED","MISMATCH")),"CHECK")</f>
        <v>ALIGNED</v>
      </c>
    </row>
    <row r="375" customFormat="false" ht="19.5" hidden="false" customHeight="true" outlineLevel="0" collapsed="false">
      <c r="A375" s="29" t="s">
        <v>499</v>
      </c>
      <c r="B375" s="30" t="n">
        <f aca="false">IF(Raw_Data!B386="","",IF(ISTEXT(Raw_Data!B386),IFERROR(DATE(VALUE(RIGHT(TRIM(Raw_Data!B386),4)),VALUE(MID(TRIM(Raw_Data!B386),4,2)),VALUE(LEFT(TRIM(Raw_Data!B386),2))),"CHECK"),Raw_Data!B386))</f>
        <v>46045</v>
      </c>
      <c r="C375" s="31" t="str">
        <f aca="false">IFERROR(INDEX(Reference_Lists!$C$23:$C$35,MATCH(PROPER(TRIM(Raw_Data!C386)),Reference_Lists!$B$23:$B$35,0)),"UNMATCHED")</f>
        <v>Help Desk</v>
      </c>
      <c r="D375" s="31" t="str">
        <f aca="false">IFERROR(INDEX(Reference_Lists!$C$36:$C$50,MATCH(PROPER(TRIM(Raw_Data!D386)),Reference_Lists!$B$36:$B$50,0)),"UNMATCHED")</f>
        <v>Gaza City</v>
      </c>
      <c r="E375" s="31" t="str">
        <f aca="false">IF(Raw_Data!E386="","",Raw_Data!E386)</f>
        <v>Shelter</v>
      </c>
      <c r="F375" s="31" t="str">
        <f aca="false">IF(Raw_Data!F386="","",Raw_Data!F386)</f>
        <v>Complaint</v>
      </c>
      <c r="G375" s="32" t="str">
        <f aca="false">IF(Raw_Data!G386="","",Raw_Data!G386)</f>
        <v>Non-Sensitive</v>
      </c>
      <c r="H375" s="32" t="str">
        <f aca="false">IFERROR(INDEX(Reference_Lists!$C$51:$C$57,MATCH(PROPER(TRIM(Raw_Data!H386)),Reference_Lists!$B$51:$B$57,0)),"UNMATCHED")</f>
        <v>Male</v>
      </c>
      <c r="I375" s="32" t="str">
        <f aca="false">IF(Raw_Data!I386="","",Raw_Data!I386)</f>
        <v>18-29</v>
      </c>
      <c r="J375" s="32" t="str">
        <f aca="false">IFERROR(INDEX(Reference_Lists!$C$58:$C$65,MATCH(PROPER(TRIM(Raw_Data!J386)),Reference_Lists!$B$58:$B$65,0)),"UNMATCHED")</f>
        <v>In Progress</v>
      </c>
      <c r="K375" s="30" t="str">
        <f aca="false">IF(Raw_Data!K386="","",IF(ISTEXT(Raw_Data!K386),IFERROR(DATE(VALUE(RIGHT(TRIM(Raw_Data!K386),4)),VALUE(MID(TRIM(Raw_Data!K386),4,2)),VALUE(LEFT(TRIM(Raw_Data!K386),2))),"CHECK"),Raw_Data!K386))</f>
        <v/>
      </c>
      <c r="L375" s="33" t="str">
        <f aca="false">IF(Raw_Data!L386="","",Raw_Data!L386)</f>
        <v>Shelter kit delivered on time and the team explained the use clearly.</v>
      </c>
      <c r="M375" s="34" t="str">
        <f aca="false">IF(OR(B375="",K375=""),"",IFERROR(K375-B375,"CHECK"))</f>
        <v/>
      </c>
      <c r="N375" s="34" t="n">
        <f aca="false">IFERROR(INDEX(Reference_Lists!$H$13:$H$14,MATCH(G375,Reference_Lists!$G$13:$G$14,0)),"UNMATCHED")</f>
        <v>15</v>
      </c>
      <c r="O375" s="32" t="str">
        <f aca="false">IF(AND(J375="Closed",ISNUMBER(M375),ISNUMBER(N375),M375&gt;=0),M375&lt;=N375,"NOT ASSESSED")</f>
        <v>NOT ASSESSED</v>
      </c>
      <c r="P375" s="36" t="str">
        <f aca="false">Raw_Data!A386</f>
        <v>CFM-2026-0427</v>
      </c>
      <c r="Q375" s="37" t="str">
        <f aca="false">IFERROR(IF(OR($A375="",$P375=""),"MISSING ID",IF(EXACT($A375,$P375),"ALIGNED","MISMATCH")),"CHECK")</f>
        <v>ALIGNED</v>
      </c>
    </row>
    <row r="376" customFormat="false" ht="19.5" hidden="false" customHeight="true" outlineLevel="0" collapsed="false">
      <c r="A376" s="29" t="s">
        <v>500</v>
      </c>
      <c r="B376" s="30" t="n">
        <f aca="false">IF(Raw_Data!B387="","",IF(ISTEXT(Raw_Data!B387),IFERROR(DATE(VALUE(RIGHT(TRIM(Raw_Data!B387),4)),VALUE(MID(TRIM(Raw_Data!B387),4,2)),VALUE(LEFT(TRIM(Raw_Data!B387),2))),"CHECK"),Raw_Data!B387))</f>
        <v>46067</v>
      </c>
      <c r="C376" s="31" t="str">
        <f aca="false">IFERROR(INDEX(Reference_Lists!$C$23:$C$35,MATCH(PROPER(TRIM(Raw_Data!C387)),Reference_Lists!$B$23:$B$35,0)),"UNMATCHED")</f>
        <v>Help Desk</v>
      </c>
      <c r="D376" s="31" t="str">
        <f aca="false">IFERROR(INDEX(Reference_Lists!$C$36:$C$50,MATCH(PROPER(TRIM(Raw_Data!D387)),Reference_Lists!$B$36:$B$50,0)),"UNMATCHED")</f>
        <v>Nuseirat</v>
      </c>
      <c r="E376" s="31" t="str">
        <f aca="false">IF(Raw_Data!E387="","",Raw_Data!E387)</f>
        <v>Nutrition</v>
      </c>
      <c r="F376" s="31" t="str">
        <f aca="false">IF(Raw_Data!F387="","",Raw_Data!F387)</f>
        <v>Appreciation</v>
      </c>
      <c r="G376" s="32" t="str">
        <f aca="false">IF(Raw_Data!G387="","",Raw_Data!G387)</f>
        <v>Non-Sensitive</v>
      </c>
      <c r="H376" s="32" t="str">
        <f aca="false">IFERROR(INDEX(Reference_Lists!$C$51:$C$57,MATCH(PROPER(TRIM(Raw_Data!H387)),Reference_Lists!$B$51:$B$57,0)),"UNMATCHED")</f>
        <v>Female</v>
      </c>
      <c r="I376" s="32" t="str">
        <f aca="false">IF(Raw_Data!I387="","",Raw_Data!I387)</f>
        <v>30-44</v>
      </c>
      <c r="J376" s="32" t="str">
        <f aca="false">IFERROR(INDEX(Reference_Lists!$C$58:$C$65,MATCH(PROPER(TRIM(Raw_Data!J387)),Reference_Lists!$B$58:$B$65,0)),"UNMATCHED")</f>
        <v>Open</v>
      </c>
      <c r="K376" s="30" t="str">
        <f aca="false">IF(Raw_Data!K387="","",IF(ISTEXT(Raw_Data!K387),IFERROR(DATE(VALUE(RIGHT(TRIM(Raw_Data!K387),4)),VALUE(MID(TRIM(Raw_Data!K387),4,2)),VALUE(LEFT(TRIM(Raw_Data!K387),2))),"CHECK"),Raw_Data!K387))</f>
        <v/>
      </c>
      <c r="L376" s="33" t="str">
        <f aca="false">IF(Raw_Data!L387="","",Raw_Data!L387)</f>
        <v>Asking whether children above five are included in the screening.</v>
      </c>
      <c r="M376" s="34" t="str">
        <f aca="false">IF(OR(B376="",K376=""),"",IFERROR(K376-B376,"CHECK"))</f>
        <v/>
      </c>
      <c r="N376" s="34" t="n">
        <f aca="false">IFERROR(INDEX(Reference_Lists!$H$13:$H$14,MATCH(G376,Reference_Lists!$G$13:$G$14,0)),"UNMATCHED")</f>
        <v>15</v>
      </c>
      <c r="O376" s="32" t="str">
        <f aca="false">IF(AND(J376="Closed",ISNUMBER(M376),ISNUMBER(N376),M376&gt;=0),M376&lt;=N376,"NOT ASSESSED")</f>
        <v>NOT ASSESSED</v>
      </c>
      <c r="P376" s="36" t="str">
        <f aca="false">Raw_Data!A387</f>
        <v>CFM-2026-0015</v>
      </c>
      <c r="Q376" s="37" t="str">
        <f aca="false">IFERROR(IF(OR($A376="",$P376=""),"MISSING ID",IF(EXACT($A376,$P376),"ALIGNED","MISMATCH")),"CHECK")</f>
        <v>ALIGNED</v>
      </c>
    </row>
    <row r="377" customFormat="false" ht="19.5" hidden="false" customHeight="true" outlineLevel="0" collapsed="false">
      <c r="A377" s="29" t="s">
        <v>501</v>
      </c>
      <c r="B377" s="30" t="n">
        <f aca="false">IF(Raw_Data!B388="","",IF(ISTEXT(Raw_Data!B388),IFERROR(DATE(VALUE(RIGHT(TRIM(Raw_Data!B388),4)),VALUE(MID(TRIM(Raw_Data!B388),4,2)),VALUE(LEFT(TRIM(Raw_Data!B388),2))),"CHECK"),Raw_Data!B388))</f>
        <v>46196</v>
      </c>
      <c r="C377" s="31" t="str">
        <f aca="false">IFERROR(INDEX(Reference_Lists!$C$23:$C$35,MATCH(PROPER(TRIM(Raw_Data!C388)),Reference_Lists!$B$23:$B$35,0)),"UNMATCHED")</f>
        <v>Help Desk</v>
      </c>
      <c r="D377" s="31" t="str">
        <f aca="false">IFERROR(INDEX(Reference_Lists!$C$36:$C$50,MATCH(PROPER(TRIM(Raw_Data!D388)),Reference_Lists!$B$36:$B$50,0)),"UNMATCHED")</f>
        <v>Jabalia</v>
      </c>
      <c r="E377" s="31" t="str">
        <f aca="false">IF(Raw_Data!E388="","",Raw_Data!E388)</f>
        <v>Health</v>
      </c>
      <c r="F377" s="31" t="str">
        <f aca="false">IF(Raw_Data!F388="","",Raw_Data!F388)</f>
        <v>Request for Information</v>
      </c>
      <c r="G377" s="32" t="str">
        <f aca="false">IF(Raw_Data!G388="","",Raw_Data!G388)</f>
        <v>Non-Sensitive</v>
      </c>
      <c r="H377" s="32" t="str">
        <f aca="false">IFERROR(INDEX(Reference_Lists!$C$51:$C$57,MATCH(PROPER(TRIM(Raw_Data!H388)),Reference_Lists!$B$51:$B$57,0)),"UNMATCHED")</f>
        <v>Female</v>
      </c>
      <c r="I377" s="32" t="str">
        <f aca="false">IF(Raw_Data!I388="","",Raw_Data!I388)</f>
        <v>18-29</v>
      </c>
      <c r="J377" s="32" t="str">
        <f aca="false">IFERROR(INDEX(Reference_Lists!$C$58:$C$65,MATCH(PROPER(TRIM(Raw_Data!J388)),Reference_Lists!$B$58:$B$65,0)),"UNMATCHED")</f>
        <v>Closed</v>
      </c>
      <c r="K377" s="30" t="n">
        <f aca="false">IF(Raw_Data!K388="","",IF(ISTEXT(Raw_Data!K388),IFERROR(DATE(VALUE(RIGHT(TRIM(Raw_Data!K388),4)),VALUE(MID(TRIM(Raw_Data!K388),4,2)),VALUE(LEFT(TRIM(Raw_Data!K388),2))),"CHECK"),Raw_Data!K388))</f>
        <v>46214</v>
      </c>
      <c r="L377" s="33" t="str">
        <f aca="false">IF(Raw_Data!L388="","",Raw_Data!L388)</f>
        <v>Clinic opening hours are not clear to the community.</v>
      </c>
      <c r="M377" s="34" t="n">
        <f aca="false">IF(OR(B377="",K377=""),"",IFERROR(K377-B377,"CHECK"))</f>
        <v>18</v>
      </c>
      <c r="N377" s="34" t="n">
        <f aca="false">IFERROR(INDEX(Reference_Lists!$H$13:$H$14,MATCH(G377,Reference_Lists!$G$13:$G$14,0)),"UNMATCHED")</f>
        <v>15</v>
      </c>
      <c r="O377" s="35" t="b">
        <f aca="false">IF(AND(J377="Closed",ISNUMBER(M377),ISNUMBER(N377),M377&gt;=0),M377&lt;=N377,"NOT ASSESSED")</f>
        <v>0</v>
      </c>
      <c r="P377" s="36" t="str">
        <f aca="false">Raw_Data!A388</f>
        <v>CFM-2026-0455</v>
      </c>
      <c r="Q377" s="37" t="str">
        <f aca="false">IFERROR(IF(OR($A377="",$P377=""),"MISSING ID",IF(EXACT($A377,$P377),"ALIGNED","MISMATCH")),"CHECK")</f>
        <v>ALIGNED</v>
      </c>
    </row>
    <row r="378" customFormat="false" ht="19.5" hidden="false" customHeight="true" outlineLevel="0" collapsed="false">
      <c r="A378" s="29" t="s">
        <v>502</v>
      </c>
      <c r="B378" s="30" t="n">
        <f aca="false">IF(Raw_Data!B389="","",IF(ISTEXT(Raw_Data!B389),IFERROR(DATE(VALUE(RIGHT(TRIM(Raw_Data!B389),4)),VALUE(MID(TRIM(Raw_Data!B389),4,2)),VALUE(LEFT(TRIM(Raw_Data!B389),2))),"CHECK"),Raw_Data!B389))</f>
        <v>46125</v>
      </c>
      <c r="C378" s="31" t="str">
        <f aca="false">IFERROR(INDEX(Reference_Lists!$C$23:$C$35,MATCH(PROPER(TRIM(Raw_Data!C389)),Reference_Lists!$B$23:$B$35,0)),"UNMATCHED")</f>
        <v>Phone Hotline</v>
      </c>
      <c r="D378" s="31" t="str">
        <f aca="false">IFERROR(INDEX(Reference_Lists!$C$36:$C$50,MATCH(PROPER(TRIM(Raw_Data!D389)),Reference_Lists!$B$36:$B$50,0)),"UNMATCHED")</f>
        <v>Nuseirat</v>
      </c>
      <c r="E378" s="31" t="str">
        <f aca="false">IF(Raw_Data!E389="","",Raw_Data!E389)</f>
        <v>Nutrition</v>
      </c>
      <c r="F378" s="31" t="str">
        <f aca="false">IF(Raw_Data!F389="","",Raw_Data!F389)</f>
        <v>Suggestion</v>
      </c>
      <c r="G378" s="32" t="str">
        <f aca="false">IF(Raw_Data!G389="","",Raw_Data!G389)</f>
        <v>Non-Sensitive</v>
      </c>
      <c r="H378" s="32" t="str">
        <f aca="false">IFERROR(INDEX(Reference_Lists!$C$51:$C$57,MATCH(PROPER(TRIM(Raw_Data!H389)),Reference_Lists!$B$51:$B$57,0)),"UNMATCHED")</f>
        <v>Female</v>
      </c>
      <c r="I378" s="32" t="str">
        <f aca="false">IF(Raw_Data!I389="","",Raw_Data!I389)</f>
        <v>18-29</v>
      </c>
      <c r="J378" s="32" t="str">
        <f aca="false">IFERROR(INDEX(Reference_Lists!$C$58:$C$65,MATCH(PROPER(TRIM(Raw_Data!J389)),Reference_Lists!$B$58:$B$65,0)),"UNMATCHED")</f>
        <v>In Progress</v>
      </c>
      <c r="K378" s="30" t="str">
        <f aca="false">IF(Raw_Data!K389="","",IF(ISTEXT(Raw_Data!K389),IFERROR(DATE(VALUE(RIGHT(TRIM(Raw_Data!K389),4)),VALUE(MID(TRIM(Raw_Data!K389),4,2)),VALUE(LEFT(TRIM(Raw_Data!K389),2))),"CHECK"),Raw_Data!K389))</f>
        <v/>
      </c>
      <c r="L378" s="33" t="str">
        <f aca="false">IF(Raw_Data!L389="","",Raw_Data!L389)</f>
        <v>Supplement was received but the guidance sheet was in English only.</v>
      </c>
      <c r="M378" s="34" t="str">
        <f aca="false">IF(OR(B378="",K378=""),"",IFERROR(K378-B378,"CHECK"))</f>
        <v/>
      </c>
      <c r="N378" s="34" t="n">
        <f aca="false">IFERROR(INDEX(Reference_Lists!$H$13:$H$14,MATCH(G378,Reference_Lists!$G$13:$G$14,0)),"UNMATCHED")</f>
        <v>15</v>
      </c>
      <c r="O378" s="32" t="str">
        <f aca="false">IF(AND(J378="Closed",ISNUMBER(M378),ISNUMBER(N378),M378&gt;=0),M378&lt;=N378,"NOT ASSESSED")</f>
        <v>NOT ASSESSED</v>
      </c>
      <c r="P378" s="36" t="str">
        <f aca="false">Raw_Data!A389</f>
        <v>CFM-2026-0131</v>
      </c>
      <c r="Q378" s="37" t="str">
        <f aca="false">IFERROR(IF(OR($A378="",$P378=""),"MISSING ID",IF(EXACT($A378,$P378),"ALIGNED","MISMATCH")),"CHECK")</f>
        <v>ALIGNED</v>
      </c>
    </row>
    <row r="379" customFormat="false" ht="19.5" hidden="false" customHeight="true" outlineLevel="0" collapsed="false">
      <c r="A379" s="29" t="s">
        <v>503</v>
      </c>
      <c r="B379" s="30" t="n">
        <f aca="false">IF(Raw_Data!B390="","",IF(ISTEXT(Raw_Data!B390),IFERROR(DATE(VALUE(RIGHT(TRIM(Raw_Data!B390),4)),VALUE(MID(TRIM(Raw_Data!B390),4,2)),VALUE(LEFT(TRIM(Raw_Data!B390),2))),"CHECK"),Raw_Data!B390))</f>
        <v>46227</v>
      </c>
      <c r="C379" s="31" t="str">
        <f aca="false">IFERROR(INDEX(Reference_Lists!$C$23:$C$35,MATCH(PROPER(TRIM(Raw_Data!C390)),Reference_Lists!$B$23:$B$35,0)),"UNMATCHED")</f>
        <v>Help Desk</v>
      </c>
      <c r="D379" s="31" t="str">
        <f aca="false">IFERROR(INDEX(Reference_Lists!$C$36:$C$50,MATCH(PROPER(TRIM(Raw_Data!D390)),Reference_Lists!$B$36:$B$50,0)),"UNMATCHED")</f>
        <v>Gaza City</v>
      </c>
      <c r="E379" s="31" t="str">
        <f aca="false">IF(Raw_Data!E390="","",Raw_Data!E390)</f>
        <v>Food Security</v>
      </c>
      <c r="F379" s="31" t="str">
        <f aca="false">IF(Raw_Data!F390="","",Raw_Data!F390)</f>
        <v>Appreciation</v>
      </c>
      <c r="G379" s="32" t="str">
        <f aca="false">IF(Raw_Data!G390="","",Raw_Data!G390)</f>
        <v>Non-Sensitive</v>
      </c>
      <c r="H379" s="32" t="str">
        <f aca="false">IFERROR(INDEX(Reference_Lists!$C$51:$C$57,MATCH(PROPER(TRIM(Raw_Data!H390)),Reference_Lists!$B$51:$B$57,0)),"UNMATCHED")</f>
        <v>Male</v>
      </c>
      <c r="I379" s="32" t="str">
        <f aca="false">IF(Raw_Data!I390="","",Raw_Data!I390)</f>
        <v>30-44</v>
      </c>
      <c r="J379" s="32" t="str">
        <f aca="false">IFERROR(INDEX(Reference_Lists!$C$58:$C$65,MATCH(PROPER(TRIM(Raw_Data!J390)),Reference_Lists!$B$58:$B$65,0)),"UNMATCHED")</f>
        <v>Closed</v>
      </c>
      <c r="K379" s="30" t="n">
        <f aca="false">IF(Raw_Data!K390="","",IF(ISTEXT(Raw_Data!K390),IFERROR(DATE(VALUE(RIGHT(TRIM(Raw_Data!K390),4)),VALUE(MID(TRIM(Raw_Data!K390),4,2)),VALUE(LEFT(TRIM(Raw_Data!K390),2))),"CHECK"),Raw_Data!K390))</f>
        <v>46247</v>
      </c>
      <c r="L379" s="33" t="str">
        <f aca="false">IF(Raw_Data!L390="","",Raw_Data!L390)</f>
        <v>Asking how the beneficiary list for the next round is prepared.</v>
      </c>
      <c r="M379" s="34" t="n">
        <f aca="false">IF(OR(B379="",K379=""),"",IFERROR(K379-B379,"CHECK"))</f>
        <v>20</v>
      </c>
      <c r="N379" s="34" t="n">
        <f aca="false">IFERROR(INDEX(Reference_Lists!$H$13:$H$14,MATCH(G379,Reference_Lists!$G$13:$G$14,0)),"UNMATCHED")</f>
        <v>15</v>
      </c>
      <c r="O379" s="35" t="b">
        <f aca="false">IF(AND(J379="Closed",ISNUMBER(M379),ISNUMBER(N379),M379&gt;=0),M379&lt;=N379,"NOT ASSESSED")</f>
        <v>0</v>
      </c>
      <c r="P379" s="36" t="str">
        <f aca="false">Raw_Data!A390</f>
        <v>CFM-2026-0072</v>
      </c>
      <c r="Q379" s="37" t="str">
        <f aca="false">IFERROR(IF(OR($A379="",$P379=""),"MISSING ID",IF(EXACT($A379,$P379),"ALIGNED","MISMATCH")),"CHECK")</f>
        <v>ALIGNED</v>
      </c>
    </row>
    <row r="380" customFormat="false" ht="19.5" hidden="false" customHeight="true" outlineLevel="0" collapsed="false">
      <c r="A380" s="29" t="s">
        <v>504</v>
      </c>
      <c r="B380" s="30" t="n">
        <f aca="false">IF(Raw_Data!B391="","",IF(ISTEXT(Raw_Data!B391),IFERROR(DATE(VALUE(RIGHT(TRIM(Raw_Data!B391),4)),VALUE(MID(TRIM(Raw_Data!B391),4,2)),VALUE(LEFT(TRIM(Raw_Data!B391),2))),"CHECK"),Raw_Data!B391))</f>
        <v>46122</v>
      </c>
      <c r="C380" s="31" t="str">
        <f aca="false">IFERROR(INDEX(Reference_Lists!$C$23:$C$35,MATCH(PROPER(TRIM(Raw_Data!C391)),Reference_Lists!$B$23:$B$35,0)),"UNMATCHED")</f>
        <v>Suggestion Box</v>
      </c>
      <c r="D380" s="31" t="str">
        <f aca="false">IFERROR(INDEX(Reference_Lists!$C$36:$C$50,MATCH(PROPER(TRIM(Raw_Data!D391)),Reference_Lists!$B$36:$B$50,0)),"UNMATCHED")</f>
        <v>Khan Yunis</v>
      </c>
      <c r="E380" s="31" t="str">
        <f aca="false">IF(Raw_Data!E391="","",Raw_Data!E391)</f>
        <v>Health</v>
      </c>
      <c r="F380" s="31" t="str">
        <f aca="false">IF(Raw_Data!F391="","",Raw_Data!F391)</f>
        <v>Complaint</v>
      </c>
      <c r="G380" s="32" t="str">
        <f aca="false">IF(Raw_Data!G391="","",Raw_Data!G391)</f>
        <v>Non-Sensitive</v>
      </c>
      <c r="H380" s="32" t="str">
        <f aca="false">IFERROR(INDEX(Reference_Lists!$C$51:$C$57,MATCH(PROPER(TRIM(Raw_Data!H391)),Reference_Lists!$B$51:$B$57,0)),"UNMATCHED")</f>
        <v>Male</v>
      </c>
      <c r="I380" s="32" t="str">
        <f aca="false">IF(Raw_Data!I391="","",Raw_Data!I391)</f>
        <v>60+</v>
      </c>
      <c r="J380" s="32" t="str">
        <f aca="false">IFERROR(INDEX(Reference_Lists!$C$58:$C$65,MATCH(PROPER(TRIM(Raw_Data!J391)),Reference_Lists!$B$58:$B$65,0)),"UNMATCHED")</f>
        <v>Closed</v>
      </c>
      <c r="K380" s="30" t="n">
        <f aca="false">IF(Raw_Data!K391="","",IF(ISTEXT(Raw_Data!K391),IFERROR(DATE(VALUE(RIGHT(TRIM(Raw_Data!K391),4)),VALUE(MID(TRIM(Raw_Data!K391),4,2)),VALUE(LEFT(TRIM(Raw_Data!K391),2))),"CHECK"),Raw_Data!K391))</f>
        <v>46121</v>
      </c>
      <c r="L380" s="33" t="str">
        <f aca="false">IF(Raw_Data!L391="","",Raw_Data!L391)</f>
        <v>Requesting a referral pathway for a family member with limited mobility.</v>
      </c>
      <c r="M380" s="34" t="n">
        <f aca="false">IF(OR(B380="",K380=""),"",IFERROR(K380-B380,"CHECK"))</f>
        <v>-1</v>
      </c>
      <c r="N380" s="34" t="n">
        <f aca="false">IFERROR(INDEX(Reference_Lists!$H$13:$H$14,MATCH(G380,Reference_Lists!$G$13:$G$14,0)),"UNMATCHED")</f>
        <v>15</v>
      </c>
      <c r="O380" s="32" t="str">
        <f aca="false">IF(AND(J380="Closed",ISNUMBER(M380),ISNUMBER(N380),M380&gt;=0),M380&lt;=N380,"NOT ASSESSED")</f>
        <v>NOT ASSESSED</v>
      </c>
      <c r="P380" s="36" t="str">
        <f aca="false">Raw_Data!A391</f>
        <v>CFM-2026-0387</v>
      </c>
      <c r="Q380" s="37" t="str">
        <f aca="false">IFERROR(IF(OR($A380="",$P380=""),"MISSING ID",IF(EXACT($A380,$P380),"ALIGNED","MISMATCH")),"CHECK")</f>
        <v>ALIGNED</v>
      </c>
    </row>
    <row r="381" customFormat="false" ht="19.5" hidden="false" customHeight="true" outlineLevel="0" collapsed="false">
      <c r="A381" s="29" t="s">
        <v>505</v>
      </c>
      <c r="B381" s="30" t="n">
        <f aca="false">IF(Raw_Data!B392="","",IF(ISTEXT(Raw_Data!B392),IFERROR(DATE(VALUE(RIGHT(TRIM(Raw_Data!B392),4)),VALUE(MID(TRIM(Raw_Data!B392),4,2)),VALUE(LEFT(TRIM(Raw_Data!B392),2))),"CHECK"),Raw_Data!B392))</f>
        <v>46139</v>
      </c>
      <c r="C381" s="31" t="str">
        <f aca="false">IFERROR(INDEX(Reference_Lists!$C$23:$C$35,MATCH(PROPER(TRIM(Raw_Data!C392)),Reference_Lists!$B$23:$B$35,0)),"UNMATCHED")</f>
        <v>Community Focal Point</v>
      </c>
      <c r="D381" s="31" t="str">
        <f aca="false">IFERROR(INDEX(Reference_Lists!$C$36:$C$50,MATCH(PROPER(TRIM(Raw_Data!D392)),Reference_Lists!$B$36:$B$50,0)),"UNMATCHED")</f>
        <v>Rafah</v>
      </c>
      <c r="E381" s="31" t="str">
        <f aca="false">IF(Raw_Data!E392="","",Raw_Data!E392)</f>
        <v>Health</v>
      </c>
      <c r="F381" s="31" t="str">
        <f aca="false">IF(Raw_Data!F392="","",Raw_Data!F392)</f>
        <v>Complaint</v>
      </c>
      <c r="G381" s="32" t="str">
        <f aca="false">IF(Raw_Data!G392="","",Raw_Data!G392)</f>
        <v>Non-Sensitive</v>
      </c>
      <c r="H381" s="32" t="str">
        <f aca="false">IFERROR(INDEX(Reference_Lists!$C$51:$C$57,MATCH(PROPER(TRIM(Raw_Data!H392)),Reference_Lists!$B$51:$B$57,0)),"UNMATCHED")</f>
        <v>Male</v>
      </c>
      <c r="I381" s="32" t="str">
        <f aca="false">IF(Raw_Data!I392="","",Raw_Data!I392)</f>
        <v>30-44</v>
      </c>
      <c r="J381" s="32" t="str">
        <f aca="false">IFERROR(INDEX(Reference_Lists!$C$58:$C$65,MATCH(PROPER(TRIM(Raw_Data!J392)),Reference_Lists!$B$58:$B$65,0)),"UNMATCHED")</f>
        <v>In Progress</v>
      </c>
      <c r="K381" s="30" t="str">
        <f aca="false">IF(Raw_Data!K392="","",IF(ISTEXT(Raw_Data!K392),IFERROR(DATE(VALUE(RIGHT(TRIM(Raw_Data!K392),4)),VALUE(MID(TRIM(Raw_Data!K392),4,2)),VALUE(LEFT(TRIM(Raw_Data!K392),2))),"CHECK"),Raw_Data!K392))</f>
        <v/>
      </c>
      <c r="L381" s="33" t="str">
        <f aca="false">IF(Raw_Data!L392="","",Raw_Data!L392)</f>
        <v>Waiting time at the mobile clinic is long during afternoon hours.</v>
      </c>
      <c r="M381" s="34" t="str">
        <f aca="false">IF(OR(B381="",K381=""),"",IFERROR(K381-B381,"CHECK"))</f>
        <v/>
      </c>
      <c r="N381" s="34" t="n">
        <f aca="false">IFERROR(INDEX(Reference_Lists!$H$13:$H$14,MATCH(G381,Reference_Lists!$G$13:$G$14,0)),"UNMATCHED")</f>
        <v>15</v>
      </c>
      <c r="O381" s="32" t="str">
        <f aca="false">IF(AND(J381="Closed",ISNUMBER(M381),ISNUMBER(N381),M381&gt;=0),M381&lt;=N381,"NOT ASSESSED")</f>
        <v>NOT ASSESSED</v>
      </c>
      <c r="P381" s="36" t="str">
        <f aca="false">Raw_Data!A392</f>
        <v>CFM-2026-0147</v>
      </c>
      <c r="Q381" s="37" t="str">
        <f aca="false">IFERROR(IF(OR($A381="",$P381=""),"MISSING ID",IF(EXACT($A381,$P381),"ALIGNED","MISMATCH")),"CHECK")</f>
        <v>ALIGNED</v>
      </c>
    </row>
    <row r="382" customFormat="false" ht="19.5" hidden="false" customHeight="true" outlineLevel="0" collapsed="false">
      <c r="A382" s="29" t="s">
        <v>506</v>
      </c>
      <c r="B382" s="30" t="n">
        <f aca="false">IF(Raw_Data!B393="","",IF(ISTEXT(Raw_Data!B393),IFERROR(DATE(VALUE(RIGHT(TRIM(Raw_Data!B393),4)),VALUE(MID(TRIM(Raw_Data!B393),4,2)),VALUE(LEFT(TRIM(Raw_Data!B393),2))),"CHECK"),Raw_Data!B393))</f>
        <v>46112</v>
      </c>
      <c r="C382" s="31" t="str">
        <f aca="false">IFERROR(INDEX(Reference_Lists!$C$23:$C$35,MATCH(PROPER(TRIM(Raw_Data!C393)),Reference_Lists!$B$23:$B$35,0)),"UNMATCHED")</f>
        <v>Suggestion Box</v>
      </c>
      <c r="D382" s="31" t="str">
        <f aca="false">IFERROR(INDEX(Reference_Lists!$C$36:$C$50,MATCH(PROPER(TRIM(Raw_Data!D393)),Reference_Lists!$B$36:$B$50,0)),"UNMATCHED")</f>
        <v>Khan Yunis</v>
      </c>
      <c r="E382" s="31" t="str">
        <f aca="false">IF(Raw_Data!E393="","",Raw_Data!E393)</f>
        <v>Nutrition</v>
      </c>
      <c r="F382" s="31" t="str">
        <f aca="false">IF(Raw_Data!F393="","",Raw_Data!F393)</f>
        <v>Sensitive Complaint</v>
      </c>
      <c r="G382" s="32" t="str">
        <f aca="false">IF(Raw_Data!G393="","",Raw_Data!G393)</f>
        <v>Sensitive</v>
      </c>
      <c r="H382" s="32" t="str">
        <f aca="false">IFERROR(INDEX(Reference_Lists!$C$51:$C$57,MATCH(PROPER(TRIM(Raw_Data!H393)),Reference_Lists!$B$51:$B$57,0)),"UNMATCHED")</f>
        <v>Male</v>
      </c>
      <c r="I382" s="32" t="str">
        <f aca="false">IF(Raw_Data!I393="","",Raw_Data!I393)</f>
        <v/>
      </c>
      <c r="J382" s="32" t="str">
        <f aca="false">IFERROR(INDEX(Reference_Lists!$C$58:$C$65,MATCH(PROPER(TRIM(Raw_Data!J393)),Reference_Lists!$B$58:$B$65,0)),"UNMATCHED")</f>
        <v>Referred</v>
      </c>
      <c r="K382" s="30" t="str">
        <f aca="false">IF(Raw_Data!K393="","",IF(ISTEXT(Raw_Data!K393),IFERROR(DATE(VALUE(RIGHT(TRIM(Raw_Data!K393),4)),VALUE(MID(TRIM(Raw_Data!K393),4,2)),VALUE(LEFT(TRIM(Raw_Data!K393),2))),"CHECK"),Raw_Data!K393))</f>
        <v/>
      </c>
      <c r="L382" s="33" t="str">
        <f aca="false">IF(Raw_Data!L393="","",Raw_Data!L393)</f>
        <v>Sensitive case - details recorded separately by the focal point; not stored in this tracker.</v>
      </c>
      <c r="M382" s="34" t="str">
        <f aca="false">IF(OR(B382="",K382=""),"",IFERROR(K382-B382,"CHECK"))</f>
        <v/>
      </c>
      <c r="N382" s="34" t="n">
        <f aca="false">IFERROR(INDEX(Reference_Lists!$H$13:$H$14,MATCH(G382,Reference_Lists!$G$13:$G$14,0)),"UNMATCHED")</f>
        <v>3</v>
      </c>
      <c r="O382" s="32" t="str">
        <f aca="false">IF(AND(J382="Closed",ISNUMBER(M382),ISNUMBER(N382),M382&gt;=0),M382&lt;=N382,"NOT ASSESSED")</f>
        <v>NOT ASSESSED</v>
      </c>
      <c r="P382" s="36" t="str">
        <f aca="false">Raw_Data!A393</f>
        <v>CFM-2026-0228</v>
      </c>
      <c r="Q382" s="37" t="str">
        <f aca="false">IFERROR(IF(OR($A382="",$P382=""),"MISSING ID",IF(EXACT($A382,$P382),"ALIGNED","MISMATCH")),"CHECK")</f>
        <v>ALIGNED</v>
      </c>
    </row>
    <row r="383" customFormat="false" ht="19.5" hidden="false" customHeight="true" outlineLevel="0" collapsed="false">
      <c r="A383" s="29" t="s">
        <v>507</v>
      </c>
      <c r="B383" s="30" t="n">
        <f aca="false">IF(Raw_Data!B394="","",IF(ISTEXT(Raw_Data!B394),IFERROR(DATE(VALUE(RIGHT(TRIM(Raw_Data!B394),4)),VALUE(MID(TRIM(Raw_Data!B394),4,2)),VALUE(LEFT(TRIM(Raw_Data!B394),2))),"CHECK"),Raw_Data!B394))</f>
        <v>46134</v>
      </c>
      <c r="C383" s="31" t="str">
        <f aca="false">IFERROR(INDEX(Reference_Lists!$C$23:$C$35,MATCH(PROPER(TRIM(Raw_Data!C394)),Reference_Lists!$B$23:$B$35,0)),"UNMATCHED")</f>
        <v>Help Desk</v>
      </c>
      <c r="D383" s="31" t="str">
        <f aca="false">IFERROR(INDEX(Reference_Lists!$C$36:$C$50,MATCH(PROPER(TRIM(Raw_Data!D394)),Reference_Lists!$B$36:$B$50,0)),"UNMATCHED")</f>
        <v>Khan Yunis</v>
      </c>
      <c r="E383" s="31" t="str">
        <f aca="false">IF(Raw_Data!E394="","",Raw_Data!E394)</f>
        <v>Health</v>
      </c>
      <c r="F383" s="31" t="str">
        <f aca="false">IF(Raw_Data!F394="","",Raw_Data!F394)</f>
        <v>Complaint</v>
      </c>
      <c r="G383" s="32" t="str">
        <f aca="false">IF(Raw_Data!G394="","",Raw_Data!G394)</f>
        <v>Non-Sensitive</v>
      </c>
      <c r="H383" s="32" t="str">
        <f aca="false">IFERROR(INDEX(Reference_Lists!$C$51:$C$57,MATCH(PROPER(TRIM(Raw_Data!H394)),Reference_Lists!$B$51:$B$57,0)),"UNMATCHED")</f>
        <v>Male</v>
      </c>
      <c r="I383" s="32" t="str">
        <f aca="false">IF(Raw_Data!I394="","",Raw_Data!I394)</f>
        <v>18-29</v>
      </c>
      <c r="J383" s="32" t="str">
        <f aca="false">IFERROR(INDEX(Reference_Lists!$C$58:$C$65,MATCH(PROPER(TRIM(Raw_Data!J394)),Reference_Lists!$B$58:$B$65,0)),"UNMATCHED")</f>
        <v>Closed</v>
      </c>
      <c r="K383" s="30" t="n">
        <f aca="false">IF(Raw_Data!K394="","",IF(ISTEXT(Raw_Data!K394),IFERROR(DATE(VALUE(RIGHT(TRIM(Raw_Data!K394),4)),VALUE(MID(TRIM(Raw_Data!K394),4,2)),VALUE(LEFT(TRIM(Raw_Data!K394),2))),"CHECK"),Raw_Data!K394))</f>
        <v>46149</v>
      </c>
      <c r="L383" s="33" t="str">
        <f aca="false">IF(Raw_Data!L394="","",Raw_Data!L394)</f>
        <v>Requesting a referral pathway for a family member with limited mobility.</v>
      </c>
      <c r="M383" s="34" t="n">
        <f aca="false">IF(OR(B383="",K383=""),"",IFERROR(K383-B383,"CHECK"))</f>
        <v>15</v>
      </c>
      <c r="N383" s="34" t="n">
        <f aca="false">IFERROR(INDEX(Reference_Lists!$H$13:$H$14,MATCH(G383,Reference_Lists!$G$13:$G$14,0)),"UNMATCHED")</f>
        <v>15</v>
      </c>
      <c r="O383" s="35" t="b">
        <f aca="false">IF(AND(J383="Closed",ISNUMBER(M383),ISNUMBER(N383),M383&gt;=0),M383&lt;=N383,"NOT ASSESSED")</f>
        <v>1</v>
      </c>
      <c r="P383" s="36" t="str">
        <f aca="false">Raw_Data!A394</f>
        <v>CFM-2026-0312</v>
      </c>
      <c r="Q383" s="37" t="str">
        <f aca="false">IFERROR(IF(OR($A383="",$P383=""),"MISSING ID",IF(EXACT($A383,$P383),"ALIGNED","MISMATCH")),"CHECK")</f>
        <v>ALIGNED</v>
      </c>
    </row>
    <row r="384" customFormat="false" ht="19.5" hidden="false" customHeight="true" outlineLevel="0" collapsed="false">
      <c r="A384" s="29" t="s">
        <v>508</v>
      </c>
      <c r="B384" s="30" t="n">
        <f aca="false">IF(Raw_Data!B395="","",IF(ISTEXT(Raw_Data!B395),IFERROR(DATE(VALUE(RIGHT(TRIM(Raw_Data!B395),4)),VALUE(MID(TRIM(Raw_Data!B395),4,2)),VALUE(LEFT(TRIM(Raw_Data!B395),2))),"CHECK"),Raw_Data!B395))</f>
        <v>46165</v>
      </c>
      <c r="C384" s="31" t="str">
        <f aca="false">IFERROR(INDEX(Reference_Lists!$C$23:$C$35,MATCH(PROPER(TRIM(Raw_Data!C395)),Reference_Lists!$B$23:$B$35,0)),"UNMATCHED")</f>
        <v>Suggestion Box</v>
      </c>
      <c r="D384" s="31" t="str">
        <f aca="false">IFERROR(INDEX(Reference_Lists!$C$36:$C$50,MATCH(PROPER(TRIM(Raw_Data!D395)),Reference_Lists!$B$36:$B$50,0)),"UNMATCHED")</f>
        <v>Khan Yunis</v>
      </c>
      <c r="E384" s="31" t="str">
        <f aca="false">IF(Raw_Data!E395="","",Raw_Data!E395)</f>
        <v>Health</v>
      </c>
      <c r="F384" s="31" t="str">
        <f aca="false">IF(Raw_Data!F395="","",Raw_Data!F395)</f>
        <v>Suggestion</v>
      </c>
      <c r="G384" s="32" t="str">
        <f aca="false">IF(Raw_Data!G395="","",Raw_Data!G395)</f>
        <v>Non-Sensitive</v>
      </c>
      <c r="H384" s="32" t="str">
        <f aca="false">IFERROR(INDEX(Reference_Lists!$C$51:$C$57,MATCH(PROPER(TRIM(Raw_Data!H395)),Reference_Lists!$B$51:$B$57,0)),"UNMATCHED")</f>
        <v>Female</v>
      </c>
      <c r="I384" s="32" t="str">
        <f aca="false">IF(Raw_Data!I395="","",Raw_Data!I395)</f>
        <v>18-29</v>
      </c>
      <c r="J384" s="32" t="str">
        <f aca="false">IFERROR(INDEX(Reference_Lists!$C$58:$C$65,MATCH(PROPER(TRIM(Raw_Data!J395)),Reference_Lists!$B$58:$B$65,0)),"UNMATCHED")</f>
        <v>Closed</v>
      </c>
      <c r="K384" s="30" t="n">
        <f aca="false">IF(Raw_Data!K395="","",IF(ISTEXT(Raw_Data!K395),IFERROR(DATE(VALUE(RIGHT(TRIM(Raw_Data!K395),4)),VALUE(MID(TRIM(Raw_Data!K395),4,2)),VALUE(LEFT(TRIM(Raw_Data!K395),2))),"CHECK"),Raw_Data!K395))</f>
        <v>46173</v>
      </c>
      <c r="L384" s="33" t="str">
        <f aca="false">IF(Raw_Data!L395="","",Raw_Data!L395)</f>
        <v>Requesting a referral pathway for a family member with limited mobility.</v>
      </c>
      <c r="M384" s="34" t="n">
        <f aca="false">IF(OR(B384="",K384=""),"",IFERROR(K384-B384,"CHECK"))</f>
        <v>8</v>
      </c>
      <c r="N384" s="34" t="n">
        <f aca="false">IFERROR(INDEX(Reference_Lists!$H$13:$H$14,MATCH(G384,Reference_Lists!$G$13:$G$14,0)),"UNMATCHED")</f>
        <v>15</v>
      </c>
      <c r="O384" s="35" t="b">
        <f aca="false">IF(AND(J384="Closed",ISNUMBER(M384),ISNUMBER(N384),M384&gt;=0),M384&lt;=N384,"NOT ASSESSED")</f>
        <v>1</v>
      </c>
      <c r="P384" s="36" t="str">
        <f aca="false">Raw_Data!A395</f>
        <v>CFM-2026-0167</v>
      </c>
      <c r="Q384" s="37" t="str">
        <f aca="false">IFERROR(IF(OR($A384="",$P384=""),"MISSING ID",IF(EXACT($A384,$P384),"ALIGNED","MISMATCH")),"CHECK")</f>
        <v>ALIGNED</v>
      </c>
    </row>
    <row r="385" customFormat="false" ht="19.5" hidden="false" customHeight="true" outlineLevel="0" collapsed="false">
      <c r="A385" s="29" t="s">
        <v>509</v>
      </c>
      <c r="B385" s="30" t="n">
        <f aca="false">IF(Raw_Data!B396="","",IF(ISTEXT(Raw_Data!B396),IFERROR(DATE(VALUE(RIGHT(TRIM(Raw_Data!B396),4)),VALUE(MID(TRIM(Raw_Data!B396),4,2)),VALUE(LEFT(TRIM(Raw_Data!B396),2))),"CHECK"),Raw_Data!B396))</f>
        <v>46175</v>
      </c>
      <c r="C385" s="31" t="str">
        <f aca="false">IFERROR(INDEX(Reference_Lists!$C$23:$C$35,MATCH(PROPER(TRIM(Raw_Data!C396)),Reference_Lists!$B$23:$B$35,0)),"UNMATCHED")</f>
        <v>Phone Hotline</v>
      </c>
      <c r="D385" s="31" t="str">
        <f aca="false">IFERROR(INDEX(Reference_Lists!$C$36:$C$50,MATCH(PROPER(TRIM(Raw_Data!D396)),Reference_Lists!$B$36:$B$50,0)),"UNMATCHED")</f>
        <v>Nuseirat</v>
      </c>
      <c r="E385" s="31" t="str">
        <f aca="false">IF(Raw_Data!E396="","",Raw_Data!E396)</f>
        <v>Shelter</v>
      </c>
      <c r="F385" s="31" t="str">
        <f aca="false">IF(Raw_Data!F396="","",Raw_Data!F396)</f>
        <v>Suggestion</v>
      </c>
      <c r="G385" s="32" t="str">
        <f aca="false">IF(Raw_Data!G396="","",Raw_Data!G396)</f>
        <v>Non-Sensitive</v>
      </c>
      <c r="H385" s="32" t="str">
        <f aca="false">IFERROR(INDEX(Reference_Lists!$C$51:$C$57,MATCH(PROPER(TRIM(Raw_Data!H396)),Reference_Lists!$B$51:$B$57,0)),"UNMATCHED")</f>
        <v>Female</v>
      </c>
      <c r="I385" s="32" t="str">
        <f aca="false">IF(Raw_Data!I396="","",Raw_Data!I396)</f>
        <v>18-29</v>
      </c>
      <c r="J385" s="32" t="str">
        <f aca="false">IFERROR(INDEX(Reference_Lists!$C$58:$C$65,MATCH(PROPER(TRIM(Raw_Data!J396)),Reference_Lists!$B$58:$B$65,0)),"UNMATCHED")</f>
        <v>Closed</v>
      </c>
      <c r="K385" s="30" t="n">
        <f aca="false">IF(Raw_Data!K396="","",IF(ISTEXT(Raw_Data!K396),IFERROR(DATE(VALUE(RIGHT(TRIM(Raw_Data!K396),4)),VALUE(MID(TRIM(Raw_Data!K396),4,2)),VALUE(LEFT(TRIM(Raw_Data!K396),2))),"CHECK"),Raw_Data!K396))</f>
        <v>46193</v>
      </c>
      <c r="L385" s="33" t="str">
        <f aca="false">IF(Raw_Data!L396="","",Raw_Data!L396)</f>
        <v>Shelter kit delivered on time and the team explained the use clearly.</v>
      </c>
      <c r="M385" s="34" t="n">
        <f aca="false">IF(OR(B385="",K385=""),"",IFERROR(K385-B385,"CHECK"))</f>
        <v>18</v>
      </c>
      <c r="N385" s="34" t="n">
        <f aca="false">IFERROR(INDEX(Reference_Lists!$H$13:$H$14,MATCH(G385,Reference_Lists!$G$13:$G$14,0)),"UNMATCHED")</f>
        <v>15</v>
      </c>
      <c r="O385" s="35" t="b">
        <f aca="false">IF(AND(J385="Closed",ISNUMBER(M385),ISNUMBER(N385),M385&gt;=0),M385&lt;=N385,"NOT ASSESSED")</f>
        <v>0</v>
      </c>
      <c r="P385" s="36" t="str">
        <f aca="false">Raw_Data!A396</f>
        <v>CFM-2026-0398</v>
      </c>
      <c r="Q385" s="37" t="str">
        <f aca="false">IFERROR(IF(OR($A385="",$P385=""),"MISSING ID",IF(EXACT($A385,$P385),"ALIGNED","MISMATCH")),"CHECK")</f>
        <v>ALIGNED</v>
      </c>
    </row>
    <row r="386" customFormat="false" ht="19.5" hidden="false" customHeight="true" outlineLevel="0" collapsed="false">
      <c r="A386" s="29" t="s">
        <v>510</v>
      </c>
      <c r="B386" s="30" t="n">
        <f aca="false">IF(Raw_Data!B397="","",IF(ISTEXT(Raw_Data!B397),IFERROR(DATE(VALUE(RIGHT(TRIM(Raw_Data!B397),4)),VALUE(MID(TRIM(Raw_Data!B397),4,2)),VALUE(LEFT(TRIM(Raw_Data!B397),2))),"CHECK"),Raw_Data!B397))</f>
        <v>46111</v>
      </c>
      <c r="C386" s="31" t="str">
        <f aca="false">IFERROR(INDEX(Reference_Lists!$C$23:$C$35,MATCH(PROPER(TRIM(Raw_Data!C397)),Reference_Lists!$B$23:$B$35,0)),"UNMATCHED")</f>
        <v>Phone Hotline</v>
      </c>
      <c r="D386" s="31" t="str">
        <f aca="false">IFERROR(INDEX(Reference_Lists!$C$36:$C$50,MATCH(PROPER(TRIM(Raw_Data!D397)),Reference_Lists!$B$36:$B$50,0)),"UNMATCHED")</f>
        <v>Jabalia</v>
      </c>
      <c r="E386" s="31" t="str">
        <f aca="false">IF(Raw_Data!E397="","",Raw_Data!E397)</f>
        <v>Food Security</v>
      </c>
      <c r="F386" s="31" t="str">
        <f aca="false">IF(Raw_Data!F397="","",Raw_Data!F397)</f>
        <v>Sensitive Complaint</v>
      </c>
      <c r="G386" s="32" t="str">
        <f aca="false">IF(Raw_Data!G397="","",Raw_Data!G397)</f>
        <v>Sensitive</v>
      </c>
      <c r="H386" s="32" t="str">
        <f aca="false">IFERROR(INDEX(Reference_Lists!$C$51:$C$57,MATCH(PROPER(TRIM(Raw_Data!H397)),Reference_Lists!$B$51:$B$57,0)),"UNMATCHED")</f>
        <v>Female</v>
      </c>
      <c r="I386" s="32" t="str">
        <f aca="false">IF(Raw_Data!I397="","",Raw_Data!I397)</f>
        <v>30-44</v>
      </c>
      <c r="J386" s="32" t="str">
        <f aca="false">IFERROR(INDEX(Reference_Lists!$C$58:$C$65,MATCH(PROPER(TRIM(Raw_Data!J397)),Reference_Lists!$B$58:$B$65,0)),"UNMATCHED")</f>
        <v>Closed</v>
      </c>
      <c r="K386" s="30" t="n">
        <f aca="false">IF(Raw_Data!K397="","",IF(ISTEXT(Raw_Data!K397),IFERROR(DATE(VALUE(RIGHT(TRIM(Raw_Data!K397),4)),VALUE(MID(TRIM(Raw_Data!K397),4,2)),VALUE(LEFT(TRIM(Raw_Data!K397),2))),"CHECK"),Raw_Data!K397))</f>
        <v>46130</v>
      </c>
      <c r="L386" s="33" t="str">
        <f aca="false">IF(Raw_Data!L397="","",Raw_Data!L397)</f>
        <v>Sensitive case - details recorded separately by the focal point; not stored in this tracker.</v>
      </c>
      <c r="M386" s="34" t="n">
        <f aca="false">IF(OR(B386="",K386=""),"",IFERROR(K386-B386,"CHECK"))</f>
        <v>19</v>
      </c>
      <c r="N386" s="34" t="n">
        <f aca="false">IFERROR(INDEX(Reference_Lists!$H$13:$H$14,MATCH(G386,Reference_Lists!$G$13:$G$14,0)),"UNMATCHED")</f>
        <v>3</v>
      </c>
      <c r="O386" s="35" t="b">
        <f aca="false">IF(AND(J386="Closed",ISNUMBER(M386),ISNUMBER(N386),M386&gt;=0),M386&lt;=N386,"NOT ASSESSED")</f>
        <v>0</v>
      </c>
      <c r="P386" s="36" t="str">
        <f aca="false">Raw_Data!A397</f>
        <v>CFM-2026-0185</v>
      </c>
      <c r="Q386" s="37" t="str">
        <f aca="false">IFERROR(IF(OR($A386="",$P386=""),"MISSING ID",IF(EXACT($A386,$P386),"ALIGNED","MISMATCH")),"CHECK")</f>
        <v>ALIGNED</v>
      </c>
    </row>
    <row r="387" customFormat="false" ht="19.5" hidden="false" customHeight="true" outlineLevel="0" collapsed="false">
      <c r="A387" s="29" t="s">
        <v>511</v>
      </c>
      <c r="B387" s="30" t="n">
        <f aca="false">IF(Raw_Data!B399="","",IF(ISTEXT(Raw_Data!B399),IFERROR(DATE(VALUE(RIGHT(TRIM(Raw_Data!B399),4)),VALUE(MID(TRIM(Raw_Data!B399),4,2)),VALUE(LEFT(TRIM(Raw_Data!B399),2))),"CHECK"),Raw_Data!B399))</f>
        <v>46038</v>
      </c>
      <c r="C387" s="31" t="str">
        <f aca="false">IFERROR(INDEX(Reference_Lists!$C$23:$C$35,MATCH(PROPER(TRIM(Raw_Data!C399)),Reference_Lists!$B$23:$B$35,0)),"UNMATCHED")</f>
        <v>Help Desk</v>
      </c>
      <c r="D387" s="31" t="str">
        <f aca="false">IFERROR(INDEX(Reference_Lists!$C$36:$C$50,MATCH(PROPER(TRIM(Raw_Data!D399)),Reference_Lists!$B$36:$B$50,0)),"UNMATCHED")</f>
        <v>Deir al-Balah</v>
      </c>
      <c r="E387" s="31" t="str">
        <f aca="false">IF(Raw_Data!E399="","",Raw_Data!E399)</f>
        <v>Shelter</v>
      </c>
      <c r="F387" s="31" t="str">
        <f aca="false">IF(Raw_Data!F399="","",Raw_Data!F399)</f>
        <v>Sensitive Complaint</v>
      </c>
      <c r="G387" s="32" t="str">
        <f aca="false">IF(Raw_Data!G399="","",Raw_Data!G399)</f>
        <v>Sensitive</v>
      </c>
      <c r="H387" s="32" t="str">
        <f aca="false">IFERROR(INDEX(Reference_Lists!$C$51:$C$57,MATCH(PROPER(TRIM(Raw_Data!H399)),Reference_Lists!$B$51:$B$57,0)),"UNMATCHED")</f>
        <v>Male</v>
      </c>
      <c r="I387" s="32" t="str">
        <f aca="false">IF(Raw_Data!I399="","",Raw_Data!I399)</f>
        <v>30-44</v>
      </c>
      <c r="J387" s="32" t="str">
        <f aca="false">IFERROR(INDEX(Reference_Lists!$C$58:$C$65,MATCH(PROPER(TRIM(Raw_Data!J399)),Reference_Lists!$B$58:$B$65,0)),"UNMATCHED")</f>
        <v>Closed</v>
      </c>
      <c r="K387" s="30" t="n">
        <f aca="false">IF(Raw_Data!K399="","",IF(ISTEXT(Raw_Data!K399),IFERROR(DATE(VALUE(RIGHT(TRIM(Raw_Data!K399),4)),VALUE(MID(TRIM(Raw_Data!K399),4,2)),VALUE(LEFT(TRIM(Raw_Data!K399),2))),"CHECK"),Raw_Data!K399))</f>
        <v>46040</v>
      </c>
      <c r="L387" s="33" t="str">
        <f aca="false">IF(Raw_Data!L399="","",Raw_Data!L399)</f>
        <v>Sensitive case - details recorded separately by the focal point; not stored in this tracker.</v>
      </c>
      <c r="M387" s="34" t="n">
        <f aca="false">IF(OR(B387="",K387=""),"",IFERROR(K387-B387,"CHECK"))</f>
        <v>2</v>
      </c>
      <c r="N387" s="34" t="n">
        <f aca="false">IFERROR(INDEX(Reference_Lists!$H$13:$H$14,MATCH(G387,Reference_Lists!$G$13:$G$14,0)),"UNMATCHED")</f>
        <v>3</v>
      </c>
      <c r="O387" s="35" t="b">
        <f aca="false">IF(AND(J387="Closed",ISNUMBER(M387),ISNUMBER(N387),M387&gt;=0),M387&lt;=N387,"NOT ASSESSED")</f>
        <v>1</v>
      </c>
      <c r="P387" s="36" t="str">
        <f aca="false">Raw_Data!A399</f>
        <v>CFM-2026-0275</v>
      </c>
      <c r="Q387" s="37" t="str">
        <f aca="false">IFERROR(IF(OR($A387="",$P387=""),"MISSING ID",IF(EXACT($A387,$P387),"ALIGNED","MISMATCH")),"CHECK")</f>
        <v>ALIGNED</v>
      </c>
    </row>
    <row r="388" customFormat="false" ht="19.5" hidden="false" customHeight="true" outlineLevel="0" collapsed="false">
      <c r="A388" s="29" t="s">
        <v>512</v>
      </c>
      <c r="B388" s="30" t="n">
        <f aca="false">IF(Raw_Data!B400="","",IF(ISTEXT(Raw_Data!B400),IFERROR(DATE(VALUE(RIGHT(TRIM(Raw_Data!B400),4)),VALUE(MID(TRIM(Raw_Data!B400),4,2)),VALUE(LEFT(TRIM(Raw_Data!B400),2))),"CHECK"),Raw_Data!B400))</f>
        <v>46054</v>
      </c>
      <c r="C388" s="31" t="str">
        <f aca="false">IFERROR(INDEX(Reference_Lists!$C$23:$C$35,MATCH(PROPER(TRIM(Raw_Data!C400)),Reference_Lists!$B$23:$B$35,0)),"UNMATCHED")</f>
        <v>Help Desk</v>
      </c>
      <c r="D388" s="31" t="str">
        <f aca="false">IFERROR(INDEX(Reference_Lists!$C$36:$C$50,MATCH(PROPER(TRIM(Raw_Data!D400)),Reference_Lists!$B$36:$B$50,0)),"UNMATCHED")</f>
        <v>Rafah</v>
      </c>
      <c r="E388" s="31" t="str">
        <f aca="false">IF(Raw_Data!E400="","",Raw_Data!E400)</f>
        <v>Food Security</v>
      </c>
      <c r="F388" s="31" t="str">
        <f aca="false">IF(Raw_Data!F400="","",Raw_Data!F400)</f>
        <v>Request for Information</v>
      </c>
      <c r="G388" s="32" t="str">
        <f aca="false">IF(Raw_Data!G400="","",Raw_Data!G400)</f>
        <v>Non-Sensitive</v>
      </c>
      <c r="H388" s="32" t="str">
        <f aca="false">IFERROR(INDEX(Reference_Lists!$C$51:$C$57,MATCH(PROPER(TRIM(Raw_Data!H400)),Reference_Lists!$B$51:$B$57,0)),"UNMATCHED")</f>
        <v>Female</v>
      </c>
      <c r="I388" s="32" t="str">
        <f aca="false">IF(Raw_Data!I400="","",Raw_Data!I400)</f>
        <v>18-29</v>
      </c>
      <c r="J388" s="32" t="str">
        <f aca="false">IFERROR(INDEX(Reference_Lists!$C$58:$C$65,MATCH(PROPER(TRIM(Raw_Data!J400)),Reference_Lists!$B$58:$B$65,0)),"UNMATCHED")</f>
        <v>In Progress</v>
      </c>
      <c r="K388" s="30" t="str">
        <f aca="false">IF(Raw_Data!K400="","",IF(ISTEXT(Raw_Data!K400),IFERROR(DATE(VALUE(RIGHT(TRIM(Raw_Data!K400),4)),VALUE(MID(TRIM(Raw_Data!K400),4,2)),VALUE(LEFT(TRIM(Raw_Data!K400),2))),"CHECK"),Raw_Data!K400))</f>
        <v/>
      </c>
      <c r="L388" s="33" t="str">
        <f aca="false">IF(Raw_Data!L400="","",Raw_Data!L400)</f>
        <v>Asking how the beneficiary list for the next round is prepared.</v>
      </c>
      <c r="M388" s="34" t="str">
        <f aca="false">IF(OR(B388="",K388=""),"",IFERROR(K388-B388,"CHECK"))</f>
        <v/>
      </c>
      <c r="N388" s="34" t="n">
        <f aca="false">IFERROR(INDEX(Reference_Lists!$H$13:$H$14,MATCH(G388,Reference_Lists!$G$13:$G$14,0)),"UNMATCHED")</f>
        <v>15</v>
      </c>
      <c r="O388" s="32" t="str">
        <f aca="false">IF(AND(J388="Closed",ISNUMBER(M388),ISNUMBER(N388),M388&gt;=0),M388&lt;=N388,"NOT ASSESSED")</f>
        <v>NOT ASSESSED</v>
      </c>
      <c r="P388" s="36" t="str">
        <f aca="false">Raw_Data!A400</f>
        <v>CFM-2026-0360</v>
      </c>
      <c r="Q388" s="37" t="str">
        <f aca="false">IFERROR(IF(OR($A388="",$P388=""),"MISSING ID",IF(EXACT($A388,$P388),"ALIGNED","MISMATCH")),"CHECK")</f>
        <v>ALIGNED</v>
      </c>
    </row>
    <row r="389" customFormat="false" ht="19.5" hidden="false" customHeight="true" outlineLevel="0" collapsed="false">
      <c r="A389" s="29" t="s">
        <v>513</v>
      </c>
      <c r="B389" s="30" t="n">
        <f aca="false">IF(Raw_Data!B401="","",IF(ISTEXT(Raw_Data!B401),IFERROR(DATE(VALUE(RIGHT(TRIM(Raw_Data!B401),4)),VALUE(MID(TRIM(Raw_Data!B401),4,2)),VALUE(LEFT(TRIM(Raw_Data!B401),2))),"CHECK"),Raw_Data!B401))</f>
        <v>46203</v>
      </c>
      <c r="C389" s="31" t="str">
        <f aca="false">IFERROR(INDEX(Reference_Lists!$C$23:$C$35,MATCH(PROPER(TRIM(Raw_Data!C401)),Reference_Lists!$B$23:$B$35,0)),"UNMATCHED")</f>
        <v>Help Desk</v>
      </c>
      <c r="D389" s="31" t="str">
        <f aca="false">IFERROR(INDEX(Reference_Lists!$C$36:$C$50,MATCH(PROPER(TRIM(Raw_Data!D401)),Reference_Lists!$B$36:$B$50,0)),"UNMATCHED")</f>
        <v>Deir al-Balah</v>
      </c>
      <c r="E389" s="31" t="str">
        <f aca="false">IF(Raw_Data!E401="","",Raw_Data!E401)</f>
        <v>WASH</v>
      </c>
      <c r="F389" s="31" t="str">
        <f aca="false">IF(Raw_Data!F401="","",Raw_Data!F401)</f>
        <v>Suggestion</v>
      </c>
      <c r="G389" s="32" t="str">
        <f aca="false">IF(Raw_Data!G401="","",Raw_Data!G401)</f>
        <v/>
      </c>
      <c r="H389" s="32" t="str">
        <f aca="false">IFERROR(INDEX(Reference_Lists!$C$51:$C$57,MATCH(PROPER(TRIM(Raw_Data!H401)),Reference_Lists!$B$51:$B$57,0)),"UNMATCHED")</f>
        <v>Male</v>
      </c>
      <c r="I389" s="32" t="str">
        <f aca="false">IF(Raw_Data!I401="","",Raw_Data!I401)</f>
        <v>18-29</v>
      </c>
      <c r="J389" s="32" t="str">
        <f aca="false">IFERROR(INDEX(Reference_Lists!$C$58:$C$65,MATCH(PROPER(TRIM(Raw_Data!J401)),Reference_Lists!$B$58:$B$65,0)),"UNMATCHED")</f>
        <v>Closed</v>
      </c>
      <c r="K389" s="30" t="n">
        <f aca="false">IF(Raw_Data!K401="","",IF(ISTEXT(Raw_Data!K401),IFERROR(DATE(VALUE(RIGHT(TRIM(Raw_Data!K401),4)),VALUE(MID(TRIM(Raw_Data!K401),4,2)),VALUE(LEFT(TRIM(Raw_Data!K401),2))),"CHECK"),Raw_Data!K401))</f>
        <v>46211</v>
      </c>
      <c r="L389" s="33" t="str">
        <f aca="false">IF(Raw_Data!L401="","",Raw_Data!L401)</f>
        <v>Latrine at the site block needs cleaning and lighting at night.</v>
      </c>
      <c r="M389" s="34" t="n">
        <f aca="false">IF(OR(B389="",K389=""),"",IFERROR(K389-B389,"CHECK"))</f>
        <v>8</v>
      </c>
      <c r="N389" s="34" t="str">
        <f aca="false">IFERROR(INDEX(Reference_Lists!$H$13:$H$14,MATCH(G389,Reference_Lists!$G$13:$G$14,0)),"UNMATCHED")</f>
        <v>UNMATCHED</v>
      </c>
      <c r="O389" s="32" t="str">
        <f aca="false">IF(AND(J389="Closed",ISNUMBER(M389),ISNUMBER(N389),M389&gt;=0),M389&lt;=N389,"NOT ASSESSED")</f>
        <v>NOT ASSESSED</v>
      </c>
      <c r="P389" s="36" t="str">
        <f aca="false">Raw_Data!A401</f>
        <v>CFM-2026-0476</v>
      </c>
      <c r="Q389" s="37" t="str">
        <f aca="false">IFERROR(IF(OR($A389="",$P389=""),"MISSING ID",IF(EXACT($A389,$P389),"ALIGNED","MISMATCH")),"CHECK")</f>
        <v>ALIGNED</v>
      </c>
    </row>
    <row r="390" customFormat="false" ht="19.5" hidden="false" customHeight="true" outlineLevel="0" collapsed="false">
      <c r="A390" s="29" t="s">
        <v>514</v>
      </c>
      <c r="B390" s="30" t="n">
        <f aca="false">IF(Raw_Data!B402="","",IF(ISTEXT(Raw_Data!B402),IFERROR(DATE(VALUE(RIGHT(TRIM(Raw_Data!B402),4)),VALUE(MID(TRIM(Raw_Data!B402),4,2)),VALUE(LEFT(TRIM(Raw_Data!B402),2))),"CHECK"),Raw_Data!B402))</f>
        <v>46087</v>
      </c>
      <c r="C390" s="31" t="str">
        <f aca="false">IFERROR(INDEX(Reference_Lists!$C$23:$C$35,MATCH(PROPER(TRIM(Raw_Data!C402)),Reference_Lists!$B$23:$B$35,0)),"UNMATCHED")</f>
        <v>Help Desk</v>
      </c>
      <c r="D390" s="31" t="str">
        <f aca="false">IFERROR(INDEX(Reference_Lists!$C$36:$C$50,MATCH(PROPER(TRIM(Raw_Data!D402)),Reference_Lists!$B$36:$B$50,0)),"UNMATCHED")</f>
        <v>Rafah</v>
      </c>
      <c r="E390" s="31" t="str">
        <f aca="false">IF(Raw_Data!E402="","",Raw_Data!E402)</f>
        <v>Nutrition</v>
      </c>
      <c r="F390" s="31" t="str">
        <f aca="false">IF(Raw_Data!F402="","",Raw_Data!F402)</f>
        <v>Suggestion</v>
      </c>
      <c r="G390" s="32" t="str">
        <f aca="false">IF(Raw_Data!G402="","",Raw_Data!G402)</f>
        <v>Non-Sensitive</v>
      </c>
      <c r="H390" s="32" t="str">
        <f aca="false">IFERROR(INDEX(Reference_Lists!$C$51:$C$57,MATCH(PROPER(TRIM(Raw_Data!H402)),Reference_Lists!$B$51:$B$57,0)),"UNMATCHED")</f>
        <v>Male</v>
      </c>
      <c r="I390" s="32" t="str">
        <f aca="false">IF(Raw_Data!I402="","",Raw_Data!I402)</f>
        <v>18-29</v>
      </c>
      <c r="J390" s="32" t="str">
        <f aca="false">IFERROR(INDEX(Reference_Lists!$C$58:$C$65,MATCH(PROPER(TRIM(Raw_Data!J402)),Reference_Lists!$B$58:$B$65,0)),"UNMATCHED")</f>
        <v>Closed</v>
      </c>
      <c r="K390" s="30" t="n">
        <f aca="false">IF(Raw_Data!K402="","",IF(ISTEXT(Raw_Data!K402),IFERROR(DATE(VALUE(RIGHT(TRIM(Raw_Data!K402),4)),VALUE(MID(TRIM(Raw_Data!K402),4,2)),VALUE(LEFT(TRIM(Raw_Data!K402),2))),"CHECK"),Raw_Data!K402))</f>
        <v>46088</v>
      </c>
      <c r="L390" s="33" t="str">
        <f aca="false">IF(Raw_Data!L402="","",Raw_Data!L402)</f>
        <v>Asking whether children above five are included in the screening.</v>
      </c>
      <c r="M390" s="34" t="n">
        <f aca="false">IF(OR(B390="",K390=""),"",IFERROR(K390-B390,"CHECK"))</f>
        <v>1</v>
      </c>
      <c r="N390" s="34" t="n">
        <f aca="false">IFERROR(INDEX(Reference_Lists!$H$13:$H$14,MATCH(G390,Reference_Lists!$G$13:$G$14,0)),"UNMATCHED")</f>
        <v>15</v>
      </c>
      <c r="O390" s="35" t="b">
        <f aca="false">IF(AND(J390="Closed",ISNUMBER(M390),ISNUMBER(N390),M390&gt;=0),M390&lt;=N390,"NOT ASSESSED")</f>
        <v>1</v>
      </c>
      <c r="P390" s="36" t="str">
        <f aca="false">Raw_Data!A402</f>
        <v>CFM-2026-0165</v>
      </c>
      <c r="Q390" s="37" t="str">
        <f aca="false">IFERROR(IF(OR($A390="",$P390=""),"MISSING ID",IF(EXACT($A390,$P390),"ALIGNED","MISMATCH")),"CHECK")</f>
        <v>ALIGNED</v>
      </c>
    </row>
    <row r="391" customFormat="false" ht="19.5" hidden="false" customHeight="true" outlineLevel="0" collapsed="false">
      <c r="A391" s="29" t="s">
        <v>515</v>
      </c>
      <c r="B391" s="30" t="n">
        <f aca="false">IF(Raw_Data!B403="","",IF(ISTEXT(Raw_Data!B403),IFERROR(DATE(VALUE(RIGHT(TRIM(Raw_Data!B403),4)),VALUE(MID(TRIM(Raw_Data!B403),4,2)),VALUE(LEFT(TRIM(Raw_Data!B403),2))),"CHECK"),Raw_Data!B403))</f>
        <v>46118</v>
      </c>
      <c r="C391" s="31" t="str">
        <f aca="false">IFERROR(INDEX(Reference_Lists!$C$23:$C$35,MATCH(PROPER(TRIM(Raw_Data!C403)),Reference_Lists!$B$23:$B$35,0)),"UNMATCHED")</f>
        <v>Suggestion Box</v>
      </c>
      <c r="D391" s="31" t="str">
        <f aca="false">IFERROR(INDEX(Reference_Lists!$C$36:$C$50,MATCH(PROPER(TRIM(Raw_Data!D403)),Reference_Lists!$B$36:$B$50,0)),"UNMATCHED")</f>
        <v>Rafah</v>
      </c>
      <c r="E391" s="31" t="str">
        <f aca="false">IF(Raw_Data!E403="","",Raw_Data!E403)</f>
        <v>WASH</v>
      </c>
      <c r="F391" s="31" t="str">
        <f aca="false">IF(Raw_Data!F403="","",Raw_Data!F403)</f>
        <v>Suggestion</v>
      </c>
      <c r="G391" s="32" t="str">
        <f aca="false">IF(Raw_Data!G403="","",Raw_Data!G403)</f>
        <v>Non-Sensitive</v>
      </c>
      <c r="H391" s="32" t="str">
        <f aca="false">IFERROR(INDEX(Reference_Lists!$C$51:$C$57,MATCH(PROPER(TRIM(Raw_Data!H403)),Reference_Lists!$B$51:$B$57,0)),"UNMATCHED")</f>
        <v>Male</v>
      </c>
      <c r="I391" s="32" t="str">
        <f aca="false">IF(Raw_Data!I403="","",Raw_Data!I403)</f>
        <v>30-44</v>
      </c>
      <c r="J391" s="32" t="str">
        <f aca="false">IFERROR(INDEX(Reference_Lists!$C$58:$C$65,MATCH(PROPER(TRIM(Raw_Data!J403)),Reference_Lists!$B$58:$B$65,0)),"UNMATCHED")</f>
        <v>Closed</v>
      </c>
      <c r="K391" s="30" t="n">
        <f aca="false">IF(Raw_Data!K403="","",IF(ISTEXT(Raw_Data!K403),IFERROR(DATE(VALUE(RIGHT(TRIM(Raw_Data!K403),4)),VALUE(MID(TRIM(Raw_Data!K403),4,2)),VALUE(LEFT(TRIM(Raw_Data!K403),2))),"CHECK"),Raw_Data!K403))</f>
        <v>46134</v>
      </c>
      <c r="L391" s="33" t="str">
        <f aca="false">IF(Raw_Data!L403="","",Raw_Data!L403)</f>
        <v>Requesting additional jerrycans for a shared shelter of four families.</v>
      </c>
      <c r="M391" s="34" t="n">
        <f aca="false">IF(OR(B391="",K391=""),"",IFERROR(K391-B391,"CHECK"))</f>
        <v>16</v>
      </c>
      <c r="N391" s="34" t="n">
        <f aca="false">IFERROR(INDEX(Reference_Lists!$H$13:$H$14,MATCH(G391,Reference_Lists!$G$13:$G$14,0)),"UNMATCHED")</f>
        <v>15</v>
      </c>
      <c r="O391" s="35" t="b">
        <f aca="false">IF(AND(J391="Closed",ISNUMBER(M391),ISNUMBER(N391),M391&gt;=0),M391&lt;=N391,"NOT ASSESSED")</f>
        <v>0</v>
      </c>
      <c r="P391" s="36" t="str">
        <f aca="false">Raw_Data!A403</f>
        <v>CFM-2026-0229</v>
      </c>
      <c r="Q391" s="37" t="str">
        <f aca="false">IFERROR(IF(OR($A391="",$P391=""),"MISSING ID",IF(EXACT($A391,$P391),"ALIGNED","MISMATCH")),"CHECK")</f>
        <v>ALIGNED</v>
      </c>
    </row>
    <row r="392" customFormat="false" ht="19.5" hidden="false" customHeight="true" outlineLevel="0" collapsed="false">
      <c r="A392" s="29" t="s">
        <v>516</v>
      </c>
      <c r="B392" s="30" t="n">
        <f aca="false">IF(Raw_Data!B404="","",IF(ISTEXT(Raw_Data!B404),IFERROR(DATE(VALUE(RIGHT(TRIM(Raw_Data!B404),4)),VALUE(MID(TRIM(Raw_Data!B404),4,2)),VALUE(LEFT(TRIM(Raw_Data!B404),2))),"CHECK"),Raw_Data!B404))</f>
        <v>46065</v>
      </c>
      <c r="C392" s="31" t="str">
        <f aca="false">IFERROR(INDEX(Reference_Lists!$C$23:$C$35,MATCH(PROPER(TRIM(Raw_Data!C404)),Reference_Lists!$B$23:$B$35,0)),"UNMATCHED")</f>
        <v>Phone Hotline</v>
      </c>
      <c r="D392" s="31" t="str">
        <f aca="false">IFERROR(INDEX(Reference_Lists!$C$36:$C$50,MATCH(PROPER(TRIM(Raw_Data!D404)),Reference_Lists!$B$36:$B$50,0)),"UNMATCHED")</f>
        <v>Rafah</v>
      </c>
      <c r="E392" s="31" t="str">
        <f aca="false">IF(Raw_Data!E404="","",Raw_Data!E404)</f>
        <v>WASH</v>
      </c>
      <c r="F392" s="31" t="str">
        <f aca="false">IF(Raw_Data!F404="","",Raw_Data!F404)</f>
        <v>Request for Information</v>
      </c>
      <c r="G392" s="32" t="str">
        <f aca="false">IF(Raw_Data!G404="","",Raw_Data!G404)</f>
        <v>Non-Sensitive</v>
      </c>
      <c r="H392" s="32" t="str">
        <f aca="false">IFERROR(INDEX(Reference_Lists!$C$51:$C$57,MATCH(PROPER(TRIM(Raw_Data!H404)),Reference_Lists!$B$51:$B$57,0)),"UNMATCHED")</f>
        <v>Female</v>
      </c>
      <c r="I392" s="32" t="str">
        <f aca="false">IF(Raw_Data!I404="","",Raw_Data!I404)</f>
        <v>30-44</v>
      </c>
      <c r="J392" s="32" t="str">
        <f aca="false">IFERROR(INDEX(Reference_Lists!$C$58:$C$65,MATCH(PROPER(TRIM(Raw_Data!J404)),Reference_Lists!$B$58:$B$65,0)),"UNMATCHED")</f>
        <v>Closed</v>
      </c>
      <c r="K392" s="30" t="n">
        <f aca="false">IF(Raw_Data!K404="","",IF(ISTEXT(Raw_Data!K404),IFERROR(DATE(VALUE(RIGHT(TRIM(Raw_Data!K404),4)),VALUE(MID(TRIM(Raw_Data!K404),4,2)),VALUE(LEFT(TRIM(Raw_Data!K404),2))),"CHECK"),Raw_Data!K404))</f>
        <v>46089</v>
      </c>
      <c r="L392" s="33" t="str">
        <f aca="false">IF(Raw_Data!L404="","",Raw_Data!L404)</f>
        <v>Requesting additional jerrycans for a shared shelter of four families.</v>
      </c>
      <c r="M392" s="34" t="n">
        <f aca="false">IF(OR(B392="",K392=""),"",IFERROR(K392-B392,"CHECK"))</f>
        <v>24</v>
      </c>
      <c r="N392" s="34" t="n">
        <f aca="false">IFERROR(INDEX(Reference_Lists!$H$13:$H$14,MATCH(G392,Reference_Lists!$G$13:$G$14,0)),"UNMATCHED")</f>
        <v>15</v>
      </c>
      <c r="O392" s="35" t="b">
        <f aca="false">IF(AND(J392="Closed",ISNUMBER(M392),ISNUMBER(N392),M392&gt;=0),M392&lt;=N392,"NOT ASSESSED")</f>
        <v>0</v>
      </c>
      <c r="P392" s="36" t="str">
        <f aca="false">Raw_Data!A404</f>
        <v>CFM-2026-0077</v>
      </c>
      <c r="Q392" s="37" t="str">
        <f aca="false">IFERROR(IF(OR($A392="",$P392=""),"MISSING ID",IF(EXACT($A392,$P392),"ALIGNED","MISMATCH")),"CHECK")</f>
        <v>ALIGNED</v>
      </c>
    </row>
    <row r="393" customFormat="false" ht="19.5" hidden="false" customHeight="true" outlineLevel="0" collapsed="false">
      <c r="A393" s="29" t="s">
        <v>518</v>
      </c>
      <c r="B393" s="30" t="n">
        <f aca="false">IF(Raw_Data!B405="","",IF(ISTEXT(Raw_Data!B405),IFERROR(DATE(VALUE(RIGHT(TRIM(Raw_Data!B405),4)),VALUE(MID(TRIM(Raw_Data!B405),4,2)),VALUE(LEFT(TRIM(Raw_Data!B405),2))),"CHECK"),Raw_Data!B405))</f>
        <v>46055</v>
      </c>
      <c r="C393" s="31" t="str">
        <f aca="false">IFERROR(INDEX(Reference_Lists!$C$23:$C$35,MATCH(PROPER(TRIM(Raw_Data!C405)),Reference_Lists!$B$23:$B$35,0)),"UNMATCHED")</f>
        <v>Help Desk</v>
      </c>
      <c r="D393" s="31" t="str">
        <f aca="false">IFERROR(INDEX(Reference_Lists!$C$36:$C$50,MATCH(PROPER(TRIM(Raw_Data!D405)),Reference_Lists!$B$36:$B$50,0)),"UNMATCHED")</f>
        <v>Jabalia</v>
      </c>
      <c r="E393" s="31" t="str">
        <f aca="false">IF(Raw_Data!E405="","",Raw_Data!E405)</f>
        <v>WASH</v>
      </c>
      <c r="F393" s="31" t="str">
        <f aca="false">IF(Raw_Data!F405="","",Raw_Data!F405)</f>
        <v>Suggestion</v>
      </c>
      <c r="G393" s="32" t="str">
        <f aca="false">IF(Raw_Data!G405="","",Raw_Data!G405)</f>
        <v>Non-Sensitive</v>
      </c>
      <c r="H393" s="32" t="str">
        <f aca="false">IFERROR(INDEX(Reference_Lists!$C$51:$C$57,MATCH(PROPER(TRIM(Raw_Data!H405)),Reference_Lists!$B$51:$B$57,0)),"UNMATCHED")</f>
        <v>Female</v>
      </c>
      <c r="I393" s="32" t="str">
        <f aca="false">IF(Raw_Data!I405="","",Raw_Data!I405)</f>
        <v>30-44</v>
      </c>
      <c r="J393" s="32" t="str">
        <f aca="false">IFERROR(INDEX(Reference_Lists!$C$58:$C$65,MATCH(PROPER(TRIM(Raw_Data!J405)),Reference_Lists!$B$58:$B$65,0)),"UNMATCHED")</f>
        <v>Closed</v>
      </c>
      <c r="K393" s="30" t="n">
        <f aca="false">IF(Raw_Data!K405="","",IF(ISTEXT(Raw_Data!K405),IFERROR(DATE(VALUE(RIGHT(TRIM(Raw_Data!K405),4)),VALUE(MID(TRIM(Raw_Data!K405),4,2)),VALUE(LEFT(TRIM(Raw_Data!K405),2))),"CHECK"),Raw_Data!K405))</f>
        <v>46071</v>
      </c>
      <c r="L393" s="33" t="str">
        <f aca="false">IF(Raw_Data!L405="","",Raw_Data!L405)</f>
        <v>Requesting additional jerrycans for a shared shelter of four families.</v>
      </c>
      <c r="M393" s="34" t="n">
        <f aca="false">IF(OR(B393="",K393=""),"",IFERROR(K393-B393,"CHECK"))</f>
        <v>16</v>
      </c>
      <c r="N393" s="34" t="n">
        <f aca="false">IFERROR(INDEX(Reference_Lists!$H$13:$H$14,MATCH(G393,Reference_Lists!$G$13:$G$14,0)),"UNMATCHED")</f>
        <v>15</v>
      </c>
      <c r="O393" s="35" t="b">
        <f aca="false">IF(AND(J393="Closed",ISNUMBER(M393),ISNUMBER(N393),M393&gt;=0),M393&lt;=N393,"NOT ASSESSED")</f>
        <v>0</v>
      </c>
      <c r="P393" s="36" t="str">
        <f aca="false">Raw_Data!A405</f>
        <v>CFM-2026-0446</v>
      </c>
      <c r="Q393" s="37" t="str">
        <f aca="false">IFERROR(IF(OR($A393="",$P393=""),"MISSING ID",IF(EXACT($A393,$P393),"ALIGNED","MISMATCH")),"CHECK")</f>
        <v>ALIGNED</v>
      </c>
    </row>
    <row r="394" customFormat="false" ht="19.5" hidden="false" customHeight="true" outlineLevel="0" collapsed="false">
      <c r="A394" s="29" t="s">
        <v>519</v>
      </c>
      <c r="B394" s="30" t="n">
        <f aca="false">IF(Raw_Data!B406="","",IF(ISTEXT(Raw_Data!B406),IFERROR(DATE(VALUE(RIGHT(TRIM(Raw_Data!B406),4)),VALUE(MID(TRIM(Raw_Data!B406),4,2)),VALUE(LEFT(TRIM(Raw_Data!B406),2))),"CHECK"),Raw_Data!B406))</f>
        <v>46171</v>
      </c>
      <c r="C394" s="31" t="str">
        <f aca="false">IFERROR(INDEX(Reference_Lists!$C$23:$C$35,MATCH(PROPER(TRIM(Raw_Data!C406)),Reference_Lists!$B$23:$B$35,0)),"UNMATCHED")</f>
        <v>Phone Hotline</v>
      </c>
      <c r="D394" s="31" t="str">
        <f aca="false">IFERROR(INDEX(Reference_Lists!$C$36:$C$50,MATCH(PROPER(TRIM(Raw_Data!D406)),Reference_Lists!$B$36:$B$50,0)),"UNMATCHED")</f>
        <v>Jabalia</v>
      </c>
      <c r="E394" s="31" t="str">
        <f aca="false">IF(Raw_Data!E406="","",Raw_Data!E406)</f>
        <v>Nutrition</v>
      </c>
      <c r="F394" s="31" t="str">
        <f aca="false">IF(Raw_Data!F406="","",Raw_Data!F406)</f>
        <v>Suggestion</v>
      </c>
      <c r="G394" s="32" t="str">
        <f aca="false">IF(Raw_Data!G406="","",Raw_Data!G406)</f>
        <v>Non-Sensitive</v>
      </c>
      <c r="H394" s="32" t="str">
        <f aca="false">IFERROR(INDEX(Reference_Lists!$C$51:$C$57,MATCH(PROPER(TRIM(Raw_Data!H406)),Reference_Lists!$B$51:$B$57,0)),"UNMATCHED")</f>
        <v>Female</v>
      </c>
      <c r="I394" s="32" t="str">
        <f aca="false">IF(Raw_Data!I406="","",Raw_Data!I406)</f>
        <v>30-44</v>
      </c>
      <c r="J394" s="32" t="str">
        <f aca="false">IFERROR(INDEX(Reference_Lists!$C$58:$C$65,MATCH(PROPER(TRIM(Raw_Data!J406)),Reference_Lists!$B$58:$B$65,0)),"UNMATCHED")</f>
        <v>Closed</v>
      </c>
      <c r="K394" s="30" t="n">
        <f aca="false">IF(Raw_Data!K406="","",IF(ISTEXT(Raw_Data!K406),IFERROR(DATE(VALUE(RIGHT(TRIM(Raw_Data!K406),4)),VALUE(MID(TRIM(Raw_Data!K406),4,2)),VALUE(LEFT(TRIM(Raw_Data!K406),2))),"CHECK"),Raw_Data!K406))</f>
        <v>46189</v>
      </c>
      <c r="L394" s="33" t="str">
        <f aca="false">IF(Raw_Data!L406="","",Raw_Data!L406)</f>
        <v>Asking whether children above five are included in the screening.</v>
      </c>
      <c r="M394" s="34" t="n">
        <f aca="false">IF(OR(B394="",K394=""),"",IFERROR(K394-B394,"CHECK"))</f>
        <v>18</v>
      </c>
      <c r="N394" s="34" t="n">
        <f aca="false">IFERROR(INDEX(Reference_Lists!$H$13:$H$14,MATCH(G394,Reference_Lists!$G$13:$G$14,0)),"UNMATCHED")</f>
        <v>15</v>
      </c>
      <c r="O394" s="35" t="b">
        <f aca="false">IF(AND(J394="Closed",ISNUMBER(M394),ISNUMBER(N394),M394&gt;=0),M394&lt;=N394,"NOT ASSESSED")</f>
        <v>0</v>
      </c>
      <c r="P394" s="36" t="str">
        <f aca="false">Raw_Data!A406</f>
        <v>CFM-2026-0286</v>
      </c>
      <c r="Q394" s="37" t="str">
        <f aca="false">IFERROR(IF(OR($A394="",$P394=""),"MISSING ID",IF(EXACT($A394,$P394),"ALIGNED","MISMATCH")),"CHECK")</f>
        <v>ALIGNED</v>
      </c>
    </row>
    <row r="395" customFormat="false" ht="19.5" hidden="false" customHeight="true" outlineLevel="0" collapsed="false">
      <c r="A395" s="29" t="s">
        <v>520</v>
      </c>
      <c r="B395" s="30" t="n">
        <f aca="false">IF(Raw_Data!B407="","",IF(ISTEXT(Raw_Data!B407),IFERROR(DATE(VALUE(RIGHT(TRIM(Raw_Data!B407),4)),VALUE(MID(TRIM(Raw_Data!B407),4,2)),VALUE(LEFT(TRIM(Raw_Data!B407),2))),"CHECK"),Raw_Data!B407))</f>
        <v>46066</v>
      </c>
      <c r="C395" s="31" t="str">
        <f aca="false">IFERROR(INDEX(Reference_Lists!$C$23:$C$35,MATCH(PROPER(TRIM(Raw_Data!C407)),Reference_Lists!$B$23:$B$35,0)),"UNMATCHED")</f>
        <v>In-Person at Distribution</v>
      </c>
      <c r="D395" s="31" t="str">
        <f aca="false">IFERROR(INDEX(Reference_Lists!$C$36:$C$50,MATCH(PROPER(TRIM(Raw_Data!D407)),Reference_Lists!$B$36:$B$50,0)),"UNMATCHED")</f>
        <v>Jabalia</v>
      </c>
      <c r="E395" s="31" t="str">
        <f aca="false">IF(Raw_Data!E407="","",Raw_Data!E407)</f>
        <v>Food Security</v>
      </c>
      <c r="F395" s="31" t="str">
        <f aca="false">IF(Raw_Data!F407="","",Raw_Data!F407)</f>
        <v>Suggestion</v>
      </c>
      <c r="G395" s="32" t="str">
        <f aca="false">IF(Raw_Data!G407="","",Raw_Data!G407)</f>
        <v>Non-Sensitive</v>
      </c>
      <c r="H395" s="32" t="str">
        <f aca="false">IFERROR(INDEX(Reference_Lists!$C$51:$C$57,MATCH(PROPER(TRIM(Raw_Data!H407)),Reference_Lists!$B$51:$B$57,0)),"UNMATCHED")</f>
        <v>Female</v>
      </c>
      <c r="I395" s="32" t="str">
        <f aca="false">IF(Raw_Data!I407="","",Raw_Data!I407)</f>
        <v>45-59</v>
      </c>
      <c r="J395" s="32" t="str">
        <f aca="false">IFERROR(INDEX(Reference_Lists!$C$58:$C$65,MATCH(PROPER(TRIM(Raw_Data!J407)),Reference_Lists!$B$58:$B$65,0)),"UNMATCHED")</f>
        <v>Referred</v>
      </c>
      <c r="K395" s="30" t="str">
        <f aca="false">IF(Raw_Data!K407="","",IF(ISTEXT(Raw_Data!K407),IFERROR(DATE(VALUE(RIGHT(TRIM(Raw_Data!K407),4)),VALUE(MID(TRIM(Raw_Data!K407),4,2)),VALUE(LEFT(TRIM(Raw_Data!K407),2))),"CHECK"),Raw_Data!K407))</f>
        <v/>
      </c>
      <c r="L395" s="33" t="str">
        <f aca="false">IF(Raw_Data!L407="","",Raw_Data!L407)</f>
        <v>Food parcel contents did not match the announced list.</v>
      </c>
      <c r="M395" s="34" t="str">
        <f aca="false">IF(OR(B395="",K395=""),"",IFERROR(K395-B395,"CHECK"))</f>
        <v/>
      </c>
      <c r="N395" s="34" t="n">
        <f aca="false">IFERROR(INDEX(Reference_Lists!$H$13:$H$14,MATCH(G395,Reference_Lists!$G$13:$G$14,0)),"UNMATCHED")</f>
        <v>15</v>
      </c>
      <c r="O395" s="32" t="str">
        <f aca="false">IF(AND(J395="Closed",ISNUMBER(M395),ISNUMBER(N395),M395&gt;=0),M395&lt;=N395,"NOT ASSESSED")</f>
        <v>NOT ASSESSED</v>
      </c>
      <c r="P395" s="36" t="str">
        <f aca="false">Raw_Data!A407</f>
        <v>CFM-2026-0257</v>
      </c>
      <c r="Q395" s="37" t="str">
        <f aca="false">IFERROR(IF(OR($A395="",$P395=""),"MISSING ID",IF(EXACT($A395,$P395),"ALIGNED","MISMATCH")),"CHECK")</f>
        <v>ALIGNED</v>
      </c>
    </row>
    <row r="396" customFormat="false" ht="19.5" hidden="false" customHeight="true" outlineLevel="0" collapsed="false">
      <c r="A396" s="29" t="s">
        <v>521</v>
      </c>
      <c r="B396" s="30" t="n">
        <f aca="false">IF(Raw_Data!B408="","",IF(ISTEXT(Raw_Data!B408),IFERROR(DATE(VALUE(RIGHT(TRIM(Raw_Data!B408),4)),VALUE(MID(TRIM(Raw_Data!B408),4,2)),VALUE(LEFT(TRIM(Raw_Data!B408),2))),"CHECK"),Raw_Data!B408))</f>
        <v>46205</v>
      </c>
      <c r="C396" s="31" t="str">
        <f aca="false">IFERROR(INDEX(Reference_Lists!$C$23:$C$35,MATCH(PROPER(TRIM(Raw_Data!C408)),Reference_Lists!$B$23:$B$35,0)),"UNMATCHED")</f>
        <v>Phone Hotline</v>
      </c>
      <c r="D396" s="31" t="str">
        <f aca="false">IFERROR(INDEX(Reference_Lists!$C$36:$C$50,MATCH(PROPER(TRIM(Raw_Data!D408)),Reference_Lists!$B$36:$B$50,0)),"UNMATCHED")</f>
        <v>Gaza City</v>
      </c>
      <c r="E396" s="31" t="str">
        <f aca="false">IF(Raw_Data!E408="","",Raw_Data!E408)</f>
        <v>Shelter</v>
      </c>
      <c r="F396" s="31" t="str">
        <f aca="false">IF(Raw_Data!F408="","",Raw_Data!F408)</f>
        <v>Appreciation</v>
      </c>
      <c r="G396" s="32" t="str">
        <f aca="false">IF(Raw_Data!G408="","",Raw_Data!G408)</f>
        <v>Non-Sensitive</v>
      </c>
      <c r="H396" s="32" t="str">
        <f aca="false">IFERROR(INDEX(Reference_Lists!$C$51:$C$57,MATCH(PROPER(TRIM(Raw_Data!H408)),Reference_Lists!$B$51:$B$57,0)),"UNMATCHED")</f>
        <v>Male</v>
      </c>
      <c r="I396" s="32" t="str">
        <f aca="false">IF(Raw_Data!I408="","",Raw_Data!I408)</f>
        <v/>
      </c>
      <c r="J396" s="32" t="str">
        <f aca="false">IFERROR(INDEX(Reference_Lists!$C$58:$C$65,MATCH(PROPER(TRIM(Raw_Data!J408)),Reference_Lists!$B$58:$B$65,0)),"UNMATCHED")</f>
        <v>Closed</v>
      </c>
      <c r="K396" s="30" t="n">
        <f aca="false">IF(Raw_Data!K408="","",IF(ISTEXT(Raw_Data!K408),IFERROR(DATE(VALUE(RIGHT(TRIM(Raw_Data!K408),4)),VALUE(MID(TRIM(Raw_Data!K408),4,2)),VALUE(LEFT(TRIM(Raw_Data!K408),2))),"CHECK"),Raw_Data!K408))</f>
        <v>46206</v>
      </c>
      <c r="L396" s="33" t="str">
        <f aca="false">IF(Raw_Data!L408="","",Raw_Data!L408)</f>
        <v>Tarpaulin received is torn and does not cover the shelter area.</v>
      </c>
      <c r="M396" s="34" t="n">
        <f aca="false">IF(OR(B396="",K396=""),"",IFERROR(K396-B396,"CHECK"))</f>
        <v>1</v>
      </c>
      <c r="N396" s="34" t="n">
        <f aca="false">IFERROR(INDEX(Reference_Lists!$H$13:$H$14,MATCH(G396,Reference_Lists!$G$13:$G$14,0)),"UNMATCHED")</f>
        <v>15</v>
      </c>
      <c r="O396" s="35" t="b">
        <f aca="false">IF(AND(J396="Closed",ISNUMBER(M396),ISNUMBER(N396),M396&gt;=0),M396&lt;=N396,"NOT ASSESSED")</f>
        <v>1</v>
      </c>
      <c r="P396" s="36" t="str">
        <f aca="false">Raw_Data!A408</f>
        <v>CFM-2026-0484</v>
      </c>
      <c r="Q396" s="37" t="str">
        <f aca="false">IFERROR(IF(OR($A396="",$P396=""),"MISSING ID",IF(EXACT($A396,$P396),"ALIGNED","MISMATCH")),"CHECK")</f>
        <v>ALIGNED</v>
      </c>
    </row>
    <row r="397" customFormat="false" ht="19.5" hidden="false" customHeight="true" outlineLevel="0" collapsed="false">
      <c r="A397" s="29" t="s">
        <v>522</v>
      </c>
      <c r="B397" s="30" t="n">
        <f aca="false">IF(Raw_Data!B409="","",IF(ISTEXT(Raw_Data!B409),IFERROR(DATE(VALUE(RIGHT(TRIM(Raw_Data!B409),4)),VALUE(MID(TRIM(Raw_Data!B409),4,2)),VALUE(LEFT(TRIM(Raw_Data!B409),2))),"CHECK"),Raw_Data!B409))</f>
        <v>46047</v>
      </c>
      <c r="C397" s="31" t="str">
        <f aca="false">IFERROR(INDEX(Reference_Lists!$C$23:$C$35,MATCH(PROPER(TRIM(Raw_Data!C409)),Reference_Lists!$B$23:$B$35,0)),"UNMATCHED")</f>
        <v>In-Person at Distribution</v>
      </c>
      <c r="D397" s="31" t="str">
        <f aca="false">IFERROR(INDEX(Reference_Lists!$C$36:$C$50,MATCH(PROPER(TRIM(Raw_Data!D409)),Reference_Lists!$B$36:$B$50,0)),"UNMATCHED")</f>
        <v>Nuseirat</v>
      </c>
      <c r="E397" s="31" t="str">
        <f aca="false">IF(Raw_Data!E409="","",Raw_Data!E409)</f>
        <v>WASH</v>
      </c>
      <c r="F397" s="31" t="str">
        <f aca="false">IF(Raw_Data!F409="","",Raw_Data!F409)</f>
        <v>Appreciation</v>
      </c>
      <c r="G397" s="32" t="str">
        <f aca="false">IF(Raw_Data!G409="","",Raw_Data!G409)</f>
        <v>Non-Sensitive</v>
      </c>
      <c r="H397" s="32" t="str">
        <f aca="false">IFERROR(INDEX(Reference_Lists!$C$51:$C$57,MATCH(PROPER(TRIM(Raw_Data!H409)),Reference_Lists!$B$51:$B$57,0)),"UNMATCHED")</f>
        <v>Female</v>
      </c>
      <c r="I397" s="32" t="str">
        <f aca="false">IF(Raw_Data!I409="","",Raw_Data!I409)</f>
        <v>60+</v>
      </c>
      <c r="J397" s="32" t="str">
        <f aca="false">IFERROR(INDEX(Reference_Lists!$C$58:$C$65,MATCH(PROPER(TRIM(Raw_Data!J409)),Reference_Lists!$B$58:$B$65,0)),"UNMATCHED")</f>
        <v>Closed</v>
      </c>
      <c r="K397" s="30" t="n">
        <f aca="false">IF(Raw_Data!K409="","",IF(ISTEXT(Raw_Data!K409),IFERROR(DATE(VALUE(RIGHT(TRIM(Raw_Data!K409),4)),VALUE(MID(TRIM(Raw_Data!K409),4,2)),VALUE(LEFT(TRIM(Raw_Data!K409),2))),"CHECK"),Raw_Data!K409))</f>
        <v>46049</v>
      </c>
      <c r="L397" s="33" t="str">
        <f aca="false">IF(Raw_Data!L409="","",Raw_Data!L409)</f>
        <v>The queue at the water point is not organised and older people cannot wait.</v>
      </c>
      <c r="M397" s="34" t="n">
        <f aca="false">IF(OR(B397="",K397=""),"",IFERROR(K397-B397,"CHECK"))</f>
        <v>2</v>
      </c>
      <c r="N397" s="34" t="n">
        <f aca="false">IFERROR(INDEX(Reference_Lists!$H$13:$H$14,MATCH(G397,Reference_Lists!$G$13:$G$14,0)),"UNMATCHED")</f>
        <v>15</v>
      </c>
      <c r="O397" s="35" t="b">
        <f aca="false">IF(AND(J397="Closed",ISNUMBER(M397),ISNUMBER(N397),M397&gt;=0),M397&lt;=N397,"NOT ASSESSED")</f>
        <v>1</v>
      </c>
      <c r="P397" s="36" t="str">
        <f aca="false">Raw_Data!A409</f>
        <v>CFM-2026-0117</v>
      </c>
      <c r="Q397" s="37" t="str">
        <f aca="false">IFERROR(IF(OR($A397="",$P397=""),"MISSING ID",IF(EXACT($A397,$P397),"ALIGNED","MISMATCH")),"CHECK")</f>
        <v>ALIGNED</v>
      </c>
    </row>
    <row r="398" customFormat="false" ht="19.5" hidden="false" customHeight="true" outlineLevel="0" collapsed="false">
      <c r="A398" s="29" t="s">
        <v>523</v>
      </c>
      <c r="B398" s="30" t="n">
        <f aca="false">IF(Raw_Data!B410="","",IF(ISTEXT(Raw_Data!B410),IFERROR(DATE(VALUE(RIGHT(TRIM(Raw_Data!B410),4)),VALUE(MID(TRIM(Raw_Data!B410),4,2)),VALUE(LEFT(TRIM(Raw_Data!B410),2))),"CHECK"),Raw_Data!B410))</f>
        <v>46052</v>
      </c>
      <c r="C398" s="31" t="str">
        <f aca="false">IFERROR(INDEX(Reference_Lists!$C$23:$C$35,MATCH(PROPER(TRIM(Raw_Data!C410)),Reference_Lists!$B$23:$B$35,0)),"UNMATCHED")</f>
        <v>Community Focal Point</v>
      </c>
      <c r="D398" s="31" t="str">
        <f aca="false">IFERROR(INDEX(Reference_Lists!$C$36:$C$50,MATCH(PROPER(TRIM(Raw_Data!D410)),Reference_Lists!$B$36:$B$50,0)),"UNMATCHED")</f>
        <v>Nuseirat</v>
      </c>
      <c r="E398" s="31" t="str">
        <f aca="false">IF(Raw_Data!E410="","",Raw_Data!E410)</f>
        <v>Nutrition</v>
      </c>
      <c r="F398" s="31" t="str">
        <f aca="false">IF(Raw_Data!F410="","",Raw_Data!F410)</f>
        <v>Sensitive Complaint</v>
      </c>
      <c r="G398" s="32" t="str">
        <f aca="false">IF(Raw_Data!G410="","",Raw_Data!G410)</f>
        <v>Sensitive</v>
      </c>
      <c r="H398" s="32" t="str">
        <f aca="false">IFERROR(INDEX(Reference_Lists!$C$51:$C$57,MATCH(PROPER(TRIM(Raw_Data!H410)),Reference_Lists!$B$51:$B$57,0)),"UNMATCHED")</f>
        <v>Female</v>
      </c>
      <c r="I398" s="32" t="str">
        <f aca="false">IF(Raw_Data!I410="","",Raw_Data!I410)</f>
        <v>45-59</v>
      </c>
      <c r="J398" s="32" t="str">
        <f aca="false">IFERROR(INDEX(Reference_Lists!$C$58:$C$65,MATCH(PROPER(TRIM(Raw_Data!J410)),Reference_Lists!$B$58:$B$65,0)),"UNMATCHED")</f>
        <v>Closed</v>
      </c>
      <c r="K398" s="30" t="n">
        <f aca="false">IF(Raw_Data!K410="","",IF(ISTEXT(Raw_Data!K410),IFERROR(DATE(VALUE(RIGHT(TRIM(Raw_Data!K410),4)),VALUE(MID(TRIM(Raw_Data!K410),4,2)),VALUE(LEFT(TRIM(Raw_Data!K410),2))),"CHECK"),Raw_Data!K410))</f>
        <v>46073</v>
      </c>
      <c r="L398" s="33" t="str">
        <f aca="false">IF(Raw_Data!L410="","",Raw_Data!L410)</f>
        <v>Sensitive case - details recorded separately by the focal point; not stored in this tracker.</v>
      </c>
      <c r="M398" s="34" t="n">
        <f aca="false">IF(OR(B398="",K398=""),"",IFERROR(K398-B398,"CHECK"))</f>
        <v>21</v>
      </c>
      <c r="N398" s="34" t="n">
        <f aca="false">IFERROR(INDEX(Reference_Lists!$H$13:$H$14,MATCH(G398,Reference_Lists!$G$13:$G$14,0)),"UNMATCHED")</f>
        <v>3</v>
      </c>
      <c r="O398" s="35" t="b">
        <f aca="false">IF(AND(J398="Closed",ISNUMBER(M398),ISNUMBER(N398),M398&gt;=0),M398&lt;=N398,"NOT ASSESSED")</f>
        <v>0</v>
      </c>
      <c r="P398" s="36" t="str">
        <f aca="false">Raw_Data!A410</f>
        <v>CFM-2026-0120</v>
      </c>
      <c r="Q398" s="37" t="str">
        <f aca="false">IFERROR(IF(OR($A398="",$P398=""),"MISSING ID",IF(EXACT($A398,$P398),"ALIGNED","MISMATCH")),"CHECK")</f>
        <v>ALIGNED</v>
      </c>
    </row>
    <row r="399" customFormat="false" ht="19.5" hidden="false" customHeight="true" outlineLevel="0" collapsed="false">
      <c r="A399" s="29" t="s">
        <v>524</v>
      </c>
      <c r="B399" s="30" t="n">
        <f aca="false">IF(Raw_Data!B411="","",IF(ISTEXT(Raw_Data!B411),IFERROR(DATE(VALUE(RIGHT(TRIM(Raw_Data!B411),4)),VALUE(MID(TRIM(Raw_Data!B411),4,2)),VALUE(LEFT(TRIM(Raw_Data!B411),2))),"CHECK"),Raw_Data!B411))</f>
        <v>46185</v>
      </c>
      <c r="C399" s="31" t="str">
        <f aca="false">IFERROR(INDEX(Reference_Lists!$C$23:$C$35,MATCH(PROPER(TRIM(Raw_Data!C411)),Reference_Lists!$B$23:$B$35,0)),"UNMATCHED")</f>
        <v>Phone Hotline</v>
      </c>
      <c r="D399" s="31" t="str">
        <f aca="false">IFERROR(INDEX(Reference_Lists!$C$36:$C$50,MATCH(PROPER(TRIM(Raw_Data!D411)),Reference_Lists!$B$36:$B$50,0)),"UNMATCHED")</f>
        <v>Jabalia</v>
      </c>
      <c r="E399" s="31" t="str">
        <f aca="false">IF(Raw_Data!E411="","",Raw_Data!E411)</f>
        <v>Food Security</v>
      </c>
      <c r="F399" s="31" t="str">
        <f aca="false">IF(Raw_Data!F411="","",Raw_Data!F411)</f>
        <v>Complaint</v>
      </c>
      <c r="G399" s="32" t="str">
        <f aca="false">IF(Raw_Data!G411="","",Raw_Data!G411)</f>
        <v>Non-Sensitive</v>
      </c>
      <c r="H399" s="32" t="str">
        <f aca="false">IFERROR(INDEX(Reference_Lists!$C$51:$C$57,MATCH(PROPER(TRIM(Raw_Data!H411)),Reference_Lists!$B$51:$B$57,0)),"UNMATCHED")</f>
        <v>Male</v>
      </c>
      <c r="I399" s="32" t="str">
        <f aca="false">IF(Raw_Data!I411="","",Raw_Data!I411)</f>
        <v>45-59</v>
      </c>
      <c r="J399" s="32" t="str">
        <f aca="false">IFERROR(INDEX(Reference_Lists!$C$58:$C$65,MATCH(PROPER(TRIM(Raw_Data!J411)),Reference_Lists!$B$58:$B$65,0)),"UNMATCHED")</f>
        <v>Referred</v>
      </c>
      <c r="K399" s="30" t="str">
        <f aca="false">IF(Raw_Data!K411="","",IF(ISTEXT(Raw_Data!K411),IFERROR(DATE(VALUE(RIGHT(TRIM(Raw_Data!K411),4)),VALUE(MID(TRIM(Raw_Data!K411),4,2)),VALUE(LEFT(TRIM(Raw_Data!K411),2))),"CHECK"),Raw_Data!K411))</f>
        <v/>
      </c>
      <c r="L399" s="33" t="str">
        <f aca="false">IF(Raw_Data!L411="","",Raw_Data!L411)</f>
        <v>Food parcel contents did not match the announced list.</v>
      </c>
      <c r="M399" s="34" t="str">
        <f aca="false">IF(OR(B399="",K399=""),"",IFERROR(K399-B399,"CHECK"))</f>
        <v/>
      </c>
      <c r="N399" s="34" t="n">
        <f aca="false">IFERROR(INDEX(Reference_Lists!$H$13:$H$14,MATCH(G399,Reference_Lists!$G$13:$G$14,0)),"UNMATCHED")</f>
        <v>15</v>
      </c>
      <c r="O399" s="32" t="str">
        <f aca="false">IF(AND(J399="Closed",ISNUMBER(M399),ISNUMBER(N399),M399&gt;=0),M399&lt;=N399,"NOT ASSESSED")</f>
        <v>NOT ASSESSED</v>
      </c>
      <c r="P399" s="36" t="str">
        <f aca="false">Raw_Data!A411</f>
        <v>CFM-2026-0346</v>
      </c>
      <c r="Q399" s="37" t="str">
        <f aca="false">IFERROR(IF(OR($A399="",$P399=""),"MISSING ID",IF(EXACT($A399,$P399),"ALIGNED","MISMATCH")),"CHECK")</f>
        <v>ALIGNED</v>
      </c>
    </row>
    <row r="400" customFormat="false" ht="19.5" hidden="false" customHeight="true" outlineLevel="0" collapsed="false">
      <c r="A400" s="29" t="s">
        <v>525</v>
      </c>
      <c r="B400" s="30" t="n">
        <f aca="false">IF(Raw_Data!B412="","",IF(ISTEXT(Raw_Data!B412),IFERROR(DATE(VALUE(RIGHT(TRIM(Raw_Data!B412),4)),VALUE(MID(TRIM(Raw_Data!B412),4,2)),VALUE(LEFT(TRIM(Raw_Data!B412),2))),"CHECK"),Raw_Data!B412))</f>
        <v>46039</v>
      </c>
      <c r="C400" s="31" t="str">
        <f aca="false">IFERROR(INDEX(Reference_Lists!$C$23:$C$35,MATCH(PROPER(TRIM(Raw_Data!C412)),Reference_Lists!$B$23:$B$35,0)),"UNMATCHED")</f>
        <v>Suggestion Box</v>
      </c>
      <c r="D400" s="31" t="str">
        <f aca="false">IFERROR(INDEX(Reference_Lists!$C$36:$C$50,MATCH(PROPER(TRIM(Raw_Data!D412)),Reference_Lists!$B$36:$B$50,0)),"UNMATCHED")</f>
        <v>Nuseirat</v>
      </c>
      <c r="E400" s="31" t="str">
        <f aca="false">IF(Raw_Data!E412="","",Raw_Data!E412)</f>
        <v>Health</v>
      </c>
      <c r="F400" s="31" t="str">
        <f aca="false">IF(Raw_Data!F412="","",Raw_Data!F412)</f>
        <v>Complaint</v>
      </c>
      <c r="G400" s="32" t="str">
        <f aca="false">IF(Raw_Data!G412="","",Raw_Data!G412)</f>
        <v>Non-Sensitive</v>
      </c>
      <c r="H400" s="32" t="str">
        <f aca="false">IFERROR(INDEX(Reference_Lists!$C$51:$C$57,MATCH(PROPER(TRIM(Raw_Data!H412)),Reference_Lists!$B$51:$B$57,0)),"UNMATCHED")</f>
        <v>Male</v>
      </c>
      <c r="I400" s="32" t="str">
        <f aca="false">IF(Raw_Data!I412="","",Raw_Data!I412)</f>
        <v>30-44</v>
      </c>
      <c r="J400" s="32" t="str">
        <f aca="false">IFERROR(INDEX(Reference_Lists!$C$58:$C$65,MATCH(PROPER(TRIM(Raw_Data!J412)),Reference_Lists!$B$58:$B$65,0)),"UNMATCHED")</f>
        <v>Referred</v>
      </c>
      <c r="K400" s="30" t="str">
        <f aca="false">IF(Raw_Data!K412="","",IF(ISTEXT(Raw_Data!K412),IFERROR(DATE(VALUE(RIGHT(TRIM(Raw_Data!K412),4)),VALUE(MID(TRIM(Raw_Data!K412),4,2)),VALUE(LEFT(TRIM(Raw_Data!K412),2))),"CHECK"),Raw_Data!K412))</f>
        <v/>
      </c>
      <c r="L400" s="33" t="str">
        <f aca="false">IF(Raw_Data!L412="","",Raw_Data!L412)</f>
        <v>Clinic opening hours are not clear to the community.</v>
      </c>
      <c r="M400" s="34" t="str">
        <f aca="false">IF(OR(B400="",K400=""),"",IFERROR(K400-B400,"CHECK"))</f>
        <v/>
      </c>
      <c r="N400" s="34" t="n">
        <f aca="false">IFERROR(INDEX(Reference_Lists!$H$13:$H$14,MATCH(G400,Reference_Lists!$G$13:$G$14,0)),"UNMATCHED")</f>
        <v>15</v>
      </c>
      <c r="O400" s="32" t="str">
        <f aca="false">IF(AND(J400="Closed",ISNUMBER(M400),ISNUMBER(N400),M400&gt;=0),M400&lt;=N400,"NOT ASSESSED")</f>
        <v>NOT ASSESSED</v>
      </c>
      <c r="P400" s="36" t="str">
        <f aca="false">Raw_Data!A412</f>
        <v>CFM-2026-0186</v>
      </c>
      <c r="Q400" s="37" t="str">
        <f aca="false">IFERROR(IF(OR($A400="",$P400=""),"MISSING ID",IF(EXACT($A400,$P400),"ALIGNED","MISMATCH")),"CHECK")</f>
        <v>ALIGNED</v>
      </c>
    </row>
    <row r="401" customFormat="false" ht="19.5" hidden="false" customHeight="true" outlineLevel="0" collapsed="false">
      <c r="A401" s="29" t="s">
        <v>526</v>
      </c>
      <c r="B401" s="30" t="n">
        <f aca="false">IF(Raw_Data!B413="","",IF(ISTEXT(Raw_Data!B413),IFERROR(DATE(VALUE(RIGHT(TRIM(Raw_Data!B413),4)),VALUE(MID(TRIM(Raw_Data!B413),4,2)),VALUE(LEFT(TRIM(Raw_Data!B413),2))),"CHECK"),Raw_Data!B413))</f>
        <v>46159</v>
      </c>
      <c r="C401" s="31" t="str">
        <f aca="false">IFERROR(INDEX(Reference_Lists!$C$23:$C$35,MATCH(PROPER(TRIM(Raw_Data!C413)),Reference_Lists!$B$23:$B$35,0)),"UNMATCHED")</f>
        <v>Phone Hotline</v>
      </c>
      <c r="D401" s="31" t="str">
        <f aca="false">IFERROR(INDEX(Reference_Lists!$C$36:$C$50,MATCH(PROPER(TRIM(Raw_Data!D413)),Reference_Lists!$B$36:$B$50,0)),"UNMATCHED")</f>
        <v>Khan Yunis</v>
      </c>
      <c r="E401" s="31" t="str">
        <f aca="false">IF(Raw_Data!E413="","",Raw_Data!E413)</f>
        <v>Shelter</v>
      </c>
      <c r="F401" s="31" t="str">
        <f aca="false">IF(Raw_Data!F413="","",Raw_Data!F413)</f>
        <v>Appreciation</v>
      </c>
      <c r="G401" s="32" t="str">
        <f aca="false">IF(Raw_Data!G413="","",Raw_Data!G413)</f>
        <v>Non-Sensitive</v>
      </c>
      <c r="H401" s="32" t="str">
        <f aca="false">IFERROR(INDEX(Reference_Lists!$C$51:$C$57,MATCH(PROPER(TRIM(Raw_Data!H413)),Reference_Lists!$B$51:$B$57,0)),"UNMATCHED")</f>
        <v>Prefer not to say</v>
      </c>
      <c r="I401" s="32" t="str">
        <f aca="false">IF(Raw_Data!I413="","",Raw_Data!I413)</f>
        <v>30-44</v>
      </c>
      <c r="J401" s="32" t="str">
        <f aca="false">IFERROR(INDEX(Reference_Lists!$C$58:$C$65,MATCH(PROPER(TRIM(Raw_Data!J413)),Reference_Lists!$B$58:$B$65,0)),"UNMATCHED")</f>
        <v>Referred</v>
      </c>
      <c r="K401" s="30" t="str">
        <f aca="false">IF(Raw_Data!K413="","",IF(ISTEXT(Raw_Data!K413),IFERROR(DATE(VALUE(RIGHT(TRIM(Raw_Data!K413),4)),VALUE(MID(TRIM(Raw_Data!K413),4,2)),VALUE(LEFT(TRIM(Raw_Data!K413),2))),"CHECK"),Raw_Data!K413))</f>
        <v/>
      </c>
      <c r="L401" s="33" t="str">
        <f aca="false">IF(Raw_Data!L413="","",Raw_Data!L413)</f>
        <v>Shelter kit delivered on time and the team explained the use clearly.</v>
      </c>
      <c r="M401" s="34" t="str">
        <f aca="false">IF(OR(B401="",K401=""),"",IFERROR(K401-B401,"CHECK"))</f>
        <v/>
      </c>
      <c r="N401" s="34" t="n">
        <f aca="false">IFERROR(INDEX(Reference_Lists!$H$13:$H$14,MATCH(G401,Reference_Lists!$G$13:$G$14,0)),"UNMATCHED")</f>
        <v>15</v>
      </c>
      <c r="O401" s="32" t="str">
        <f aca="false">IF(AND(J401="Closed",ISNUMBER(M401),ISNUMBER(N401),M401&gt;=0),M401&lt;=N401,"NOT ASSESSED")</f>
        <v>NOT ASSESSED</v>
      </c>
      <c r="P401" s="36" t="str">
        <f aca="false">Raw_Data!A413</f>
        <v>CFM-2026-0146</v>
      </c>
      <c r="Q401" s="37" t="str">
        <f aca="false">IFERROR(IF(OR($A401="",$P401=""),"MISSING ID",IF(EXACT($A401,$P401),"ALIGNED","MISMATCH")),"CHECK")</f>
        <v>ALIGNED</v>
      </c>
    </row>
    <row r="402" customFormat="false" ht="19.5" hidden="false" customHeight="true" outlineLevel="0" collapsed="false">
      <c r="A402" s="29" t="s">
        <v>527</v>
      </c>
      <c r="B402" s="30" t="n">
        <f aca="false">IF(Raw_Data!B415="","",IF(ISTEXT(Raw_Data!B415),IFERROR(DATE(VALUE(RIGHT(TRIM(Raw_Data!B415),4)),VALUE(MID(TRIM(Raw_Data!B415),4,2)),VALUE(LEFT(TRIM(Raw_Data!B415),2))),"CHECK"),Raw_Data!B415))</f>
        <v>46045</v>
      </c>
      <c r="C402" s="31" t="str">
        <f aca="false">IFERROR(INDEX(Reference_Lists!$C$23:$C$35,MATCH(PROPER(TRIM(Raw_Data!C415)),Reference_Lists!$B$23:$B$35,0)),"UNMATCHED")</f>
        <v>In-Person at Distribution</v>
      </c>
      <c r="D402" s="31" t="str">
        <f aca="false">IFERROR(INDEX(Reference_Lists!$C$36:$C$50,MATCH(PROPER(TRIM(Raw_Data!D415)),Reference_Lists!$B$36:$B$50,0)),"UNMATCHED")</f>
        <v>Deir al-Balah</v>
      </c>
      <c r="E402" s="31" t="str">
        <f aca="false">IF(Raw_Data!E415="","",Raw_Data!E415)</f>
        <v/>
      </c>
      <c r="F402" s="31" t="str">
        <f aca="false">IF(Raw_Data!F415="","",Raw_Data!F415)</f>
        <v>Suggestion</v>
      </c>
      <c r="G402" s="32" t="str">
        <f aca="false">IF(Raw_Data!G415="","",Raw_Data!G415)</f>
        <v>Non-Sensitive</v>
      </c>
      <c r="H402" s="32" t="str">
        <f aca="false">IFERROR(INDEX(Reference_Lists!$C$51:$C$57,MATCH(PROPER(TRIM(Raw_Data!H415)),Reference_Lists!$B$51:$B$57,0)),"UNMATCHED")</f>
        <v>Female</v>
      </c>
      <c r="I402" s="32" t="str">
        <f aca="false">IF(Raw_Data!I415="","",Raw_Data!I415)</f>
        <v>18-29</v>
      </c>
      <c r="J402" s="32" t="str">
        <f aca="false">IFERROR(INDEX(Reference_Lists!$C$58:$C$65,MATCH(PROPER(TRIM(Raw_Data!J415)),Reference_Lists!$B$58:$B$65,0)),"UNMATCHED")</f>
        <v>Closed</v>
      </c>
      <c r="K402" s="30" t="n">
        <f aca="false">IF(Raw_Data!K415="","",IF(ISTEXT(Raw_Data!K415),IFERROR(DATE(VALUE(RIGHT(TRIM(Raw_Data!K415),4)),VALUE(MID(TRIM(Raw_Data!K415),4,2)),VALUE(LEFT(TRIM(Raw_Data!K415),2))),"CHECK"),Raw_Data!K415))</f>
        <v>46071</v>
      </c>
      <c r="L402" s="33" t="str">
        <f aca="false">IF(Raw_Data!L415="","",Raw_Data!L415)</f>
        <v>Requesting information about the criteria for shelter repair kits.</v>
      </c>
      <c r="M402" s="34" t="n">
        <f aca="false">IF(OR(B402="",K402=""),"",IFERROR(K402-B402,"CHECK"))</f>
        <v>26</v>
      </c>
      <c r="N402" s="34" t="n">
        <f aca="false">IFERROR(INDEX(Reference_Lists!$H$13:$H$14,MATCH(G402,Reference_Lists!$G$13:$G$14,0)),"UNMATCHED")</f>
        <v>15</v>
      </c>
      <c r="O402" s="35" t="b">
        <f aca="false">IF(AND(J402="Closed",ISNUMBER(M402),ISNUMBER(N402),M402&gt;=0),M402&lt;=N402,"NOT ASSESSED")</f>
        <v>0</v>
      </c>
      <c r="P402" s="36" t="str">
        <f aca="false">Raw_Data!A415</f>
        <v>CFM-2026-0487</v>
      </c>
      <c r="Q402" s="37" t="str">
        <f aca="false">IFERROR(IF(OR($A402="",$P402=""),"MISSING ID",IF(EXACT($A402,$P402),"ALIGNED","MISMATCH")),"CHECK")</f>
        <v>ALIGNED</v>
      </c>
    </row>
    <row r="403" customFormat="false" ht="19.5" hidden="false" customHeight="true" outlineLevel="0" collapsed="false">
      <c r="A403" s="29" t="s">
        <v>528</v>
      </c>
      <c r="B403" s="30" t="n">
        <f aca="false">IF(Raw_Data!B416="","",IF(ISTEXT(Raw_Data!B416),IFERROR(DATE(VALUE(RIGHT(TRIM(Raw_Data!B416),4)),VALUE(MID(TRIM(Raw_Data!B416),4,2)),VALUE(LEFT(TRIM(Raw_Data!B416),2))),"CHECK"),Raw_Data!B416))</f>
        <v>46053</v>
      </c>
      <c r="C403" s="31" t="str">
        <f aca="false">IFERROR(INDEX(Reference_Lists!$C$23:$C$35,MATCH(PROPER(TRIM(Raw_Data!C416)),Reference_Lists!$B$23:$B$35,0)),"UNMATCHED")</f>
        <v>Suggestion Box</v>
      </c>
      <c r="D403" s="31" t="str">
        <f aca="false">IFERROR(INDEX(Reference_Lists!$C$36:$C$50,MATCH(PROPER(TRIM(Raw_Data!D416)),Reference_Lists!$B$36:$B$50,0)),"UNMATCHED")</f>
        <v>Nuseirat</v>
      </c>
      <c r="E403" s="31" t="str">
        <f aca="false">IF(Raw_Data!E416="","",Raw_Data!E416)</f>
        <v>Food Security</v>
      </c>
      <c r="F403" s="31" t="str">
        <f aca="false">IF(Raw_Data!F416="","",Raw_Data!F416)</f>
        <v>Complaint</v>
      </c>
      <c r="G403" s="32" t="str">
        <f aca="false">IF(Raw_Data!G416="","",Raw_Data!G416)</f>
        <v>Non-Sensitive</v>
      </c>
      <c r="H403" s="32" t="str">
        <f aca="false">IFERROR(INDEX(Reference_Lists!$C$51:$C$57,MATCH(PROPER(TRIM(Raw_Data!H416)),Reference_Lists!$B$51:$B$57,0)),"UNMATCHED")</f>
        <v>Female</v>
      </c>
      <c r="I403" s="32" t="str">
        <f aca="false">IF(Raw_Data!I416="","",Raw_Data!I416)</f>
        <v>45-59</v>
      </c>
      <c r="J403" s="32" t="str">
        <f aca="false">IFERROR(INDEX(Reference_Lists!$C$58:$C$65,MATCH(PROPER(TRIM(Raw_Data!J416)),Reference_Lists!$B$58:$B$65,0)),"UNMATCHED")</f>
        <v>In Progress</v>
      </c>
      <c r="K403" s="30" t="str">
        <f aca="false">IF(Raw_Data!K416="","",IF(ISTEXT(Raw_Data!K416),IFERROR(DATE(VALUE(RIGHT(TRIM(Raw_Data!K416),4)),VALUE(MID(TRIM(Raw_Data!K416),4,2)),VALUE(LEFT(TRIM(Raw_Data!K416),2))),"CHECK"),Raw_Data!K416))</f>
        <v/>
      </c>
      <c r="L403" s="33" t="str">
        <f aca="false">IF(Raw_Data!L416="","",Raw_Data!L416)</f>
        <v>Asking how the beneficiary list for the next round is prepared.</v>
      </c>
      <c r="M403" s="34" t="str">
        <f aca="false">IF(OR(B403="",K403=""),"",IFERROR(K403-B403,"CHECK"))</f>
        <v/>
      </c>
      <c r="N403" s="34" t="n">
        <f aca="false">IFERROR(INDEX(Reference_Lists!$H$13:$H$14,MATCH(G403,Reference_Lists!$G$13:$G$14,0)),"UNMATCHED")</f>
        <v>15</v>
      </c>
      <c r="O403" s="32" t="str">
        <f aca="false">IF(AND(J403="Closed",ISNUMBER(M403),ISNUMBER(N403),M403&gt;=0),M403&lt;=N403,"NOT ASSESSED")</f>
        <v>NOT ASSESSED</v>
      </c>
      <c r="P403" s="36" t="str">
        <f aca="false">Raw_Data!A416</f>
        <v>CFM-2026-0245</v>
      </c>
      <c r="Q403" s="37" t="str">
        <f aca="false">IFERROR(IF(OR($A403="",$P403=""),"MISSING ID",IF(EXACT($A403,$P403),"ALIGNED","MISMATCH")),"CHECK")</f>
        <v>ALIGNED</v>
      </c>
    </row>
    <row r="404" customFormat="false" ht="19.5" hidden="false" customHeight="true" outlineLevel="0" collapsed="false">
      <c r="A404" s="29" t="s">
        <v>529</v>
      </c>
      <c r="B404" s="30" t="n">
        <f aca="false">IF(Raw_Data!B417="","",IF(ISTEXT(Raw_Data!B417),IFERROR(DATE(VALUE(RIGHT(TRIM(Raw_Data!B417),4)),VALUE(MID(TRIM(Raw_Data!B417),4,2)),VALUE(LEFT(TRIM(Raw_Data!B417),2))),"CHECK"),Raw_Data!B417))</f>
        <v>46143</v>
      </c>
      <c r="C404" s="31" t="str">
        <f aca="false">IFERROR(INDEX(Reference_Lists!$C$23:$C$35,MATCH(PROPER(TRIM(Raw_Data!C417)),Reference_Lists!$B$23:$B$35,0)),"UNMATCHED")</f>
        <v>Community Focal Point</v>
      </c>
      <c r="D404" s="31" t="str">
        <f aca="false">IFERROR(INDEX(Reference_Lists!$C$36:$C$50,MATCH(PROPER(TRIM(Raw_Data!D417)),Reference_Lists!$B$36:$B$50,0)),"UNMATCHED")</f>
        <v>Khan Yunis</v>
      </c>
      <c r="E404" s="31" t="str">
        <f aca="false">IF(Raw_Data!E417="","",Raw_Data!E417)</f>
        <v>Nutrition</v>
      </c>
      <c r="F404" s="31" t="str">
        <f aca="false">IF(Raw_Data!F417="","",Raw_Data!F417)</f>
        <v>Suggestion</v>
      </c>
      <c r="G404" s="32" t="str">
        <f aca="false">IF(Raw_Data!G417="","",Raw_Data!G417)</f>
        <v>Non-Sensitive</v>
      </c>
      <c r="H404" s="32" t="str">
        <f aca="false">IFERROR(INDEX(Reference_Lists!$C$51:$C$57,MATCH(PROPER(TRIM(Raw_Data!H417)),Reference_Lists!$B$51:$B$57,0)),"UNMATCHED")</f>
        <v>Female</v>
      </c>
      <c r="I404" s="32" t="str">
        <f aca="false">IF(Raw_Data!I417="","",Raw_Data!I417)</f>
        <v>45-59</v>
      </c>
      <c r="J404" s="32" t="str">
        <f aca="false">IFERROR(INDEX(Reference_Lists!$C$58:$C$65,MATCH(PROPER(TRIM(Raw_Data!J417)),Reference_Lists!$B$58:$B$65,0)),"UNMATCHED")</f>
        <v>Open</v>
      </c>
      <c r="K404" s="30" t="str">
        <f aca="false">IF(Raw_Data!K417="","",IF(ISTEXT(Raw_Data!K417),IFERROR(DATE(VALUE(RIGHT(TRIM(Raw_Data!K417),4)),VALUE(MID(TRIM(Raw_Data!K417),4,2)),VALUE(LEFT(TRIM(Raw_Data!K417),2))),"CHECK"),Raw_Data!K417))</f>
        <v/>
      </c>
      <c r="L404" s="33" t="str">
        <f aca="false">IF(Raw_Data!L417="","",Raw_Data!L417)</f>
        <v>Requesting a screening session closer to the northern shelter.</v>
      </c>
      <c r="M404" s="34" t="str">
        <f aca="false">IF(OR(B404="",K404=""),"",IFERROR(K404-B404,"CHECK"))</f>
        <v/>
      </c>
      <c r="N404" s="34" t="n">
        <f aca="false">IFERROR(INDEX(Reference_Lists!$H$13:$H$14,MATCH(G404,Reference_Lists!$G$13:$G$14,0)),"UNMATCHED")</f>
        <v>15</v>
      </c>
      <c r="O404" s="32" t="str">
        <f aca="false">IF(AND(J404="Closed",ISNUMBER(M404),ISNUMBER(N404),M404&gt;=0),M404&lt;=N404,"NOT ASSESSED")</f>
        <v>NOT ASSESSED</v>
      </c>
      <c r="P404" s="36" t="str">
        <f aca="false">Raw_Data!A417</f>
        <v>CFM-2026-0001</v>
      </c>
      <c r="Q404" s="37" t="str">
        <f aca="false">IFERROR(IF(OR($A404="",$P404=""),"MISSING ID",IF(EXACT($A404,$P404),"ALIGNED","MISMATCH")),"CHECK")</f>
        <v>ALIGNED</v>
      </c>
    </row>
    <row r="405" customFormat="false" ht="19.5" hidden="false" customHeight="true" outlineLevel="0" collapsed="false">
      <c r="A405" s="29" t="s">
        <v>530</v>
      </c>
      <c r="B405" s="30" t="n">
        <f aca="false">IF(Raw_Data!B418="","",IF(ISTEXT(Raw_Data!B418),IFERROR(DATE(VALUE(RIGHT(TRIM(Raw_Data!B418),4)),VALUE(MID(TRIM(Raw_Data!B418),4,2)),VALUE(LEFT(TRIM(Raw_Data!B418),2))),"CHECK"),Raw_Data!B418))</f>
        <v>46116</v>
      </c>
      <c r="C405" s="31" t="str">
        <f aca="false">IFERROR(INDEX(Reference_Lists!$C$23:$C$35,MATCH(PROPER(TRIM(Raw_Data!C418)),Reference_Lists!$B$23:$B$35,0)),"UNMATCHED")</f>
        <v>Suggestion Box</v>
      </c>
      <c r="D405" s="31" t="str">
        <f aca="false">IFERROR(INDEX(Reference_Lists!$C$36:$C$50,MATCH(PROPER(TRIM(Raw_Data!D418)),Reference_Lists!$B$36:$B$50,0)),"UNMATCHED")</f>
        <v>Nuseirat</v>
      </c>
      <c r="E405" s="31" t="str">
        <f aca="false">IF(Raw_Data!E418="","",Raw_Data!E418)</f>
        <v>Food Security</v>
      </c>
      <c r="F405" s="31" t="str">
        <f aca="false">IF(Raw_Data!F418="","",Raw_Data!F418)</f>
        <v>Complaint</v>
      </c>
      <c r="G405" s="32" t="str">
        <f aca="false">IF(Raw_Data!G418="","",Raw_Data!G418)</f>
        <v>Non-Sensitive</v>
      </c>
      <c r="H405" s="32" t="str">
        <f aca="false">IFERROR(INDEX(Reference_Lists!$C$51:$C$57,MATCH(PROPER(TRIM(Raw_Data!H418)),Reference_Lists!$B$51:$B$57,0)),"UNMATCHED")</f>
        <v>Female</v>
      </c>
      <c r="I405" s="32" t="str">
        <f aca="false">IF(Raw_Data!I418="","",Raw_Data!I418)</f>
        <v>45-59</v>
      </c>
      <c r="J405" s="32" t="str">
        <f aca="false">IFERROR(INDEX(Reference_Lists!$C$58:$C$65,MATCH(PROPER(TRIM(Raw_Data!J418)),Reference_Lists!$B$58:$B$65,0)),"UNMATCHED")</f>
        <v>In Progress</v>
      </c>
      <c r="K405" s="30" t="str">
        <f aca="false">IF(Raw_Data!K418="","",IF(ISTEXT(Raw_Data!K418),IFERROR(DATE(VALUE(RIGHT(TRIM(Raw_Data!K418),4)),VALUE(MID(TRIM(Raw_Data!K418),4,2)),VALUE(LEFT(TRIM(Raw_Data!K418),2))),"CHECK"),Raw_Data!K418))</f>
        <v/>
      </c>
      <c r="L405" s="33" t="str">
        <f aca="false">IF(Raw_Data!L418="","",Raw_Data!L418)</f>
        <v>Asking how the beneficiary list for the next round is prepared.</v>
      </c>
      <c r="M405" s="34" t="str">
        <f aca="false">IF(OR(B405="",K405=""),"",IFERROR(K405-B405,"CHECK"))</f>
        <v/>
      </c>
      <c r="N405" s="34" t="n">
        <f aca="false">IFERROR(INDEX(Reference_Lists!$H$13:$H$14,MATCH(G405,Reference_Lists!$G$13:$G$14,0)),"UNMATCHED")</f>
        <v>15</v>
      </c>
      <c r="O405" s="32" t="str">
        <f aca="false">IF(AND(J405="Closed",ISNUMBER(M405),ISNUMBER(N405),M405&gt;=0),M405&lt;=N405,"NOT ASSESSED")</f>
        <v>NOT ASSESSED</v>
      </c>
      <c r="P405" s="36" t="str">
        <f aca="false">Raw_Data!A418</f>
        <v>CFM-2026-0178</v>
      </c>
      <c r="Q405" s="37" t="str">
        <f aca="false">IFERROR(IF(OR($A405="",$P405=""),"MISSING ID",IF(EXACT($A405,$P405),"ALIGNED","MISMATCH")),"CHECK")</f>
        <v>ALIGNED</v>
      </c>
    </row>
    <row r="406" customFormat="false" ht="19.5" hidden="false" customHeight="true" outlineLevel="0" collapsed="false">
      <c r="A406" s="29" t="s">
        <v>532</v>
      </c>
      <c r="B406" s="30" t="n">
        <f aca="false">IF(Raw_Data!B419="","",IF(ISTEXT(Raw_Data!B419),IFERROR(DATE(VALUE(RIGHT(TRIM(Raw_Data!B419),4)),VALUE(MID(TRIM(Raw_Data!B419),4,2)),VALUE(LEFT(TRIM(Raw_Data!B419),2))),"CHECK"),Raw_Data!B419))</f>
        <v>46040</v>
      </c>
      <c r="C406" s="31" t="str">
        <f aca="false">IFERROR(INDEX(Reference_Lists!$C$23:$C$35,MATCH(PROPER(TRIM(Raw_Data!C419)),Reference_Lists!$B$23:$B$35,0)),"UNMATCHED")</f>
        <v>Suggestion Box</v>
      </c>
      <c r="D406" s="31" t="str">
        <f aca="false">IFERROR(INDEX(Reference_Lists!$C$36:$C$50,MATCH(PROPER(TRIM(Raw_Data!D419)),Reference_Lists!$B$36:$B$50,0)),"UNMATCHED")</f>
        <v>Khan Yunis</v>
      </c>
      <c r="E406" s="31" t="str">
        <f aca="false">IF(Raw_Data!E419="","",Raw_Data!E419)</f>
        <v>WASH</v>
      </c>
      <c r="F406" s="31" t="str">
        <f aca="false">IF(Raw_Data!F419="","",Raw_Data!F419)</f>
        <v>Appreciation</v>
      </c>
      <c r="G406" s="32" t="str">
        <f aca="false">IF(Raw_Data!G419="","",Raw_Data!G419)</f>
        <v>Non-Sensitive</v>
      </c>
      <c r="H406" s="32" t="str">
        <f aca="false">IFERROR(INDEX(Reference_Lists!$C$51:$C$57,MATCH(PROPER(TRIM(Raw_Data!H419)),Reference_Lists!$B$51:$B$57,0)),"UNMATCHED")</f>
        <v>Male</v>
      </c>
      <c r="I406" s="32" t="str">
        <f aca="false">IF(Raw_Data!I419="","",Raw_Data!I419)</f>
        <v>30-44</v>
      </c>
      <c r="J406" s="32" t="str">
        <f aca="false">IFERROR(INDEX(Reference_Lists!$C$58:$C$65,MATCH(PROPER(TRIM(Raw_Data!J419)),Reference_Lists!$B$58:$B$65,0)),"UNMATCHED")</f>
        <v>Open</v>
      </c>
      <c r="K406" s="30" t="str">
        <f aca="false">IF(Raw_Data!K419="","",IF(ISTEXT(Raw_Data!K419),IFERROR(DATE(VALUE(RIGHT(TRIM(Raw_Data!K419),4)),VALUE(MID(TRIM(Raw_Data!K419),4,2)),VALUE(LEFT(TRIM(Raw_Data!K419),2))),"CHECK"),Raw_Data!K419))</f>
        <v/>
      </c>
      <c r="L406" s="33" t="str">
        <f aca="false">IF(Raw_Data!L419="","",Raw_Data!L419)</f>
        <v>The queue at the water point is not organised and older people cannot wait.</v>
      </c>
      <c r="M406" s="34" t="str">
        <f aca="false">IF(OR(B406="",K406=""),"",IFERROR(K406-B406,"CHECK"))</f>
        <v/>
      </c>
      <c r="N406" s="34" t="n">
        <f aca="false">IFERROR(INDEX(Reference_Lists!$H$13:$H$14,MATCH(G406,Reference_Lists!$G$13:$G$14,0)),"UNMATCHED")</f>
        <v>15</v>
      </c>
      <c r="O406" s="32" t="str">
        <f aca="false">IF(AND(J406="Closed",ISNUMBER(M406),ISNUMBER(N406),M406&gt;=0),M406&lt;=N406,"NOT ASSESSED")</f>
        <v>NOT ASSESSED</v>
      </c>
      <c r="P406" s="36" t="str">
        <f aca="false">Raw_Data!A419</f>
        <v>CFM-2026-0105</v>
      </c>
      <c r="Q406" s="37" t="str">
        <f aca="false">IFERROR(IF(OR($A406="",$P406=""),"MISSING ID",IF(EXACT($A406,$P406),"ALIGNED","MISMATCH")),"CHECK")</f>
        <v>ALIGNED</v>
      </c>
    </row>
    <row r="407" customFormat="false" ht="19.5" hidden="false" customHeight="true" outlineLevel="0" collapsed="false">
      <c r="A407" s="29" t="s">
        <v>533</v>
      </c>
      <c r="B407" s="30" t="n">
        <f aca="false">IF(Raw_Data!B420="","",IF(ISTEXT(Raw_Data!B420),IFERROR(DATE(VALUE(RIGHT(TRIM(Raw_Data!B420),4)),VALUE(MID(TRIM(Raw_Data!B420),4,2)),VALUE(LEFT(TRIM(Raw_Data!B420),2))),"CHECK"),Raw_Data!B420))</f>
        <v>46090</v>
      </c>
      <c r="C407" s="31" t="str">
        <f aca="false">IFERROR(INDEX(Reference_Lists!$C$23:$C$35,MATCH(PROPER(TRIM(Raw_Data!C420)),Reference_Lists!$B$23:$B$35,0)),"UNMATCHED")</f>
        <v>Suggestion Box</v>
      </c>
      <c r="D407" s="31" t="str">
        <f aca="false">IFERROR(INDEX(Reference_Lists!$C$36:$C$50,MATCH(PROPER(TRIM(Raw_Data!D420)),Reference_Lists!$B$36:$B$50,0)),"UNMATCHED")</f>
        <v>Deir al-Balah</v>
      </c>
      <c r="E407" s="31" t="str">
        <f aca="false">IF(Raw_Data!E420="","",Raw_Data!E420)</f>
        <v>WASH</v>
      </c>
      <c r="F407" s="31" t="str">
        <f aca="false">IF(Raw_Data!F420="","",Raw_Data!F420)</f>
        <v>Complaint</v>
      </c>
      <c r="G407" s="32" t="str">
        <f aca="false">IF(Raw_Data!G420="","",Raw_Data!G420)</f>
        <v>Non-Sensitive</v>
      </c>
      <c r="H407" s="32" t="str">
        <f aca="false">IFERROR(INDEX(Reference_Lists!$C$51:$C$57,MATCH(PROPER(TRIM(Raw_Data!H420)),Reference_Lists!$B$51:$B$57,0)),"UNMATCHED")</f>
        <v>Male</v>
      </c>
      <c r="I407" s="32" t="str">
        <f aca="false">IF(Raw_Data!I420="","",Raw_Data!I420)</f>
        <v/>
      </c>
      <c r="J407" s="32" t="str">
        <f aca="false">IFERROR(INDEX(Reference_Lists!$C$58:$C$65,MATCH(PROPER(TRIM(Raw_Data!J420)),Reference_Lists!$B$58:$B$65,0)),"UNMATCHED")</f>
        <v>Closed</v>
      </c>
      <c r="K407" s="30" t="n">
        <f aca="false">IF(Raw_Data!K420="","",IF(ISTEXT(Raw_Data!K420),IFERROR(DATE(VALUE(RIGHT(TRIM(Raw_Data!K420),4)),VALUE(MID(TRIM(Raw_Data!K420),4,2)),VALUE(LEFT(TRIM(Raw_Data!K420),2))),"CHECK"),Raw_Data!K420))</f>
        <v>46112</v>
      </c>
      <c r="L407" s="33" t="str">
        <f aca="false">IF(Raw_Data!L420="","",Raw_Data!L420)</f>
        <v>Latrine at the site block needs cleaning and lighting at night.</v>
      </c>
      <c r="M407" s="34" t="n">
        <f aca="false">IF(OR(B407="",K407=""),"",IFERROR(K407-B407,"CHECK"))</f>
        <v>22</v>
      </c>
      <c r="N407" s="34" t="n">
        <f aca="false">IFERROR(INDEX(Reference_Lists!$H$13:$H$14,MATCH(G407,Reference_Lists!$G$13:$G$14,0)),"UNMATCHED")</f>
        <v>15</v>
      </c>
      <c r="O407" s="35" t="b">
        <f aca="false">IF(AND(J407="Closed",ISNUMBER(M407),ISNUMBER(N407),M407&gt;=0),M407&lt;=N407,"NOT ASSESSED")</f>
        <v>0</v>
      </c>
      <c r="P407" s="36" t="str">
        <f aca="false">Raw_Data!A420</f>
        <v>CFM-2026-0151</v>
      </c>
      <c r="Q407" s="37" t="str">
        <f aca="false">IFERROR(IF(OR($A407="",$P407=""),"MISSING ID",IF(EXACT($A407,$P407),"ALIGNED","MISMATCH")),"CHECK")</f>
        <v>ALIGNED</v>
      </c>
    </row>
    <row r="408" customFormat="false" ht="19.5" hidden="false" customHeight="true" outlineLevel="0" collapsed="false">
      <c r="A408" s="29" t="s">
        <v>534</v>
      </c>
      <c r="B408" s="30" t="n">
        <f aca="false">IF(Raw_Data!B421="","",IF(ISTEXT(Raw_Data!B421),IFERROR(DATE(VALUE(RIGHT(TRIM(Raw_Data!B421),4)),VALUE(MID(TRIM(Raw_Data!B421),4,2)),VALUE(LEFT(TRIM(Raw_Data!B421),2))),"CHECK"),Raw_Data!B421))</f>
        <v>46172</v>
      </c>
      <c r="C408" s="31" t="str">
        <f aca="false">IFERROR(INDEX(Reference_Lists!$C$23:$C$35,MATCH(PROPER(TRIM(Raw_Data!C421)),Reference_Lists!$B$23:$B$35,0)),"UNMATCHED")</f>
        <v>Help Desk</v>
      </c>
      <c r="D408" s="31" t="str">
        <f aca="false">IFERROR(INDEX(Reference_Lists!$C$36:$C$50,MATCH(PROPER(TRIM(Raw_Data!D421)),Reference_Lists!$B$36:$B$50,0)),"UNMATCHED")</f>
        <v>Khan Yunis</v>
      </c>
      <c r="E408" s="31" t="str">
        <f aca="false">IF(Raw_Data!E421="","",Raw_Data!E421)</f>
        <v>Shelter</v>
      </c>
      <c r="F408" s="31" t="str">
        <f aca="false">IF(Raw_Data!F421="","",Raw_Data!F421)</f>
        <v>Suggestion</v>
      </c>
      <c r="G408" s="32" t="str">
        <f aca="false">IF(Raw_Data!G421="","",Raw_Data!G421)</f>
        <v>Non-Sensitive</v>
      </c>
      <c r="H408" s="32" t="str">
        <f aca="false">IFERROR(INDEX(Reference_Lists!$C$51:$C$57,MATCH(PROPER(TRIM(Raw_Data!H421)),Reference_Lists!$B$51:$B$57,0)),"UNMATCHED")</f>
        <v>Male</v>
      </c>
      <c r="I408" s="32" t="str">
        <f aca="false">IF(Raw_Data!I421="","",Raw_Data!I421)</f>
        <v>18-29</v>
      </c>
      <c r="J408" s="32" t="str">
        <f aca="false">IFERROR(INDEX(Reference_Lists!$C$58:$C$65,MATCH(PROPER(TRIM(Raw_Data!J421)),Reference_Lists!$B$58:$B$65,0)),"UNMATCHED")</f>
        <v>Closed</v>
      </c>
      <c r="K408" s="30" t="n">
        <f aca="false">IF(Raw_Data!K421="","",IF(ISTEXT(Raw_Data!K421),IFERROR(DATE(VALUE(RIGHT(TRIM(Raw_Data!K421),4)),VALUE(MID(TRIM(Raw_Data!K421),4,2)),VALUE(LEFT(TRIM(Raw_Data!K421),2))),"CHECK"),Raw_Data!K421))</f>
        <v>46184</v>
      </c>
      <c r="L408" s="33" t="str">
        <f aca="false">IF(Raw_Data!L421="","",Raw_Data!L421)</f>
        <v>Shelter kit delivered on time and the team explained the use clearly.</v>
      </c>
      <c r="M408" s="34" t="n">
        <f aca="false">IF(OR(B408="",K408=""),"",IFERROR(K408-B408,"CHECK"))</f>
        <v>12</v>
      </c>
      <c r="N408" s="34" t="n">
        <f aca="false">IFERROR(INDEX(Reference_Lists!$H$13:$H$14,MATCH(G408,Reference_Lists!$G$13:$G$14,0)),"UNMATCHED")</f>
        <v>15</v>
      </c>
      <c r="O408" s="35" t="b">
        <f aca="false">IF(AND(J408="Closed",ISNUMBER(M408),ISNUMBER(N408),M408&gt;=0),M408&lt;=N408,"NOT ASSESSED")</f>
        <v>1</v>
      </c>
      <c r="P408" s="36" t="str">
        <f aca="false">Raw_Data!A421</f>
        <v>CFM-2026-0152</v>
      </c>
      <c r="Q408" s="37" t="str">
        <f aca="false">IFERROR(IF(OR($A408="",$P408=""),"MISSING ID",IF(EXACT($A408,$P408),"ALIGNED","MISMATCH")),"CHECK")</f>
        <v>ALIGNED</v>
      </c>
    </row>
    <row r="409" customFormat="false" ht="19.5" hidden="false" customHeight="true" outlineLevel="0" collapsed="false">
      <c r="A409" s="29" t="s">
        <v>535</v>
      </c>
      <c r="B409" s="30" t="n">
        <f aca="false">IF(Raw_Data!B422="","",IF(ISTEXT(Raw_Data!B422),IFERROR(DATE(VALUE(RIGHT(TRIM(Raw_Data!B422),4)),VALUE(MID(TRIM(Raw_Data!B422),4,2)),VALUE(LEFT(TRIM(Raw_Data!B422),2))),"CHECK"),Raw_Data!B422))</f>
        <v>46132</v>
      </c>
      <c r="C409" s="31" t="str">
        <f aca="false">IFERROR(INDEX(Reference_Lists!$C$23:$C$35,MATCH(PROPER(TRIM(Raw_Data!C422)),Reference_Lists!$B$23:$B$35,0)),"UNMATCHED")</f>
        <v>Help Desk</v>
      </c>
      <c r="D409" s="31" t="str">
        <f aca="false">IFERROR(INDEX(Reference_Lists!$C$36:$C$50,MATCH(PROPER(TRIM(Raw_Data!D422)),Reference_Lists!$B$36:$B$50,0)),"UNMATCHED")</f>
        <v>Khan Yunis</v>
      </c>
      <c r="E409" s="31" t="str">
        <f aca="false">IF(Raw_Data!E422="","",Raw_Data!E422)</f>
        <v>Food Security</v>
      </c>
      <c r="F409" s="31" t="str">
        <f aca="false">IF(Raw_Data!F422="","",Raw_Data!F422)</f>
        <v>Request for Information</v>
      </c>
      <c r="G409" s="32" t="str">
        <f aca="false">IF(Raw_Data!G422="","",Raw_Data!G422)</f>
        <v>Non-Sensitive</v>
      </c>
      <c r="H409" s="32" t="str">
        <f aca="false">IFERROR(INDEX(Reference_Lists!$C$51:$C$57,MATCH(PROPER(TRIM(Raw_Data!H422)),Reference_Lists!$B$51:$B$57,0)),"UNMATCHED")</f>
        <v>Female</v>
      </c>
      <c r="I409" s="32" t="str">
        <f aca="false">IF(Raw_Data!I422="","",Raw_Data!I422)</f>
        <v>45-59</v>
      </c>
      <c r="J409" s="32" t="str">
        <f aca="false">IFERROR(INDEX(Reference_Lists!$C$58:$C$65,MATCH(PROPER(TRIM(Raw_Data!J422)),Reference_Lists!$B$58:$B$65,0)),"UNMATCHED")</f>
        <v>Open</v>
      </c>
      <c r="K409" s="30" t="str">
        <f aca="false">IF(Raw_Data!K422="","",IF(ISTEXT(Raw_Data!K422),IFERROR(DATE(VALUE(RIGHT(TRIM(Raw_Data!K422),4)),VALUE(MID(TRIM(Raw_Data!K422),4,2)),VALUE(LEFT(TRIM(Raw_Data!K422),2))),"CHECK"),Raw_Data!K422))</f>
        <v/>
      </c>
      <c r="L409" s="33" t="str">
        <f aca="false">IF(Raw_Data!L422="","",Raw_Data!L422)</f>
        <v>Thanking the team for organising the last distribution well.</v>
      </c>
      <c r="M409" s="34" t="str">
        <f aca="false">IF(OR(B409="",K409=""),"",IFERROR(K409-B409,"CHECK"))</f>
        <v/>
      </c>
      <c r="N409" s="34" t="n">
        <f aca="false">IFERROR(INDEX(Reference_Lists!$H$13:$H$14,MATCH(G409,Reference_Lists!$G$13:$G$14,0)),"UNMATCHED")</f>
        <v>15</v>
      </c>
      <c r="O409" s="32" t="str">
        <f aca="false">IF(AND(J409="Closed",ISNUMBER(M409),ISNUMBER(N409),M409&gt;=0),M409&lt;=N409,"NOT ASSESSED")</f>
        <v>NOT ASSESSED</v>
      </c>
      <c r="P409" s="36" t="str">
        <f aca="false">Raw_Data!A422</f>
        <v>CFM-2026-0283</v>
      </c>
      <c r="Q409" s="37" t="str">
        <f aca="false">IFERROR(IF(OR($A409="",$P409=""),"MISSING ID",IF(EXACT($A409,$P409),"ALIGNED","MISMATCH")),"CHECK")</f>
        <v>ALIGNED</v>
      </c>
    </row>
    <row r="410" customFormat="false" ht="19.5" hidden="false" customHeight="true" outlineLevel="0" collapsed="false">
      <c r="A410" s="29" t="s">
        <v>536</v>
      </c>
      <c r="B410" s="30" t="n">
        <f aca="false">IF(Raw_Data!B424="","",IF(ISTEXT(Raw_Data!B424),IFERROR(DATE(VALUE(RIGHT(TRIM(Raw_Data!B424),4)),VALUE(MID(TRIM(Raw_Data!B424),4,2)),VALUE(LEFT(TRIM(Raw_Data!B424),2))),"CHECK"),Raw_Data!B424))</f>
        <v>46100</v>
      </c>
      <c r="C410" s="31" t="str">
        <f aca="false">IFERROR(INDEX(Reference_Lists!$C$23:$C$35,MATCH(PROPER(TRIM(Raw_Data!C424)),Reference_Lists!$B$23:$B$35,0)),"UNMATCHED")</f>
        <v>In-Person at Distribution</v>
      </c>
      <c r="D410" s="31" t="str">
        <f aca="false">IFERROR(INDEX(Reference_Lists!$C$36:$C$50,MATCH(PROPER(TRIM(Raw_Data!D424)),Reference_Lists!$B$36:$B$50,0)),"UNMATCHED")</f>
        <v>Nuseirat</v>
      </c>
      <c r="E410" s="31" t="str">
        <f aca="false">IF(Raw_Data!E424="","",Raw_Data!E424)</f>
        <v>WASH</v>
      </c>
      <c r="F410" s="31" t="str">
        <f aca="false">IF(Raw_Data!F424="","",Raw_Data!F424)</f>
        <v>Complaint</v>
      </c>
      <c r="G410" s="32" t="str">
        <f aca="false">IF(Raw_Data!G424="","",Raw_Data!G424)</f>
        <v>Non-Sensitive</v>
      </c>
      <c r="H410" s="32" t="str">
        <f aca="false">IFERROR(INDEX(Reference_Lists!$C$51:$C$57,MATCH(PROPER(TRIM(Raw_Data!H424)),Reference_Lists!$B$51:$B$57,0)),"UNMATCHED")</f>
        <v>Female</v>
      </c>
      <c r="I410" s="32" t="str">
        <f aca="false">IF(Raw_Data!I424="","",Raw_Data!I424)</f>
        <v>30-44</v>
      </c>
      <c r="J410" s="32" t="str">
        <f aca="false">IFERROR(INDEX(Reference_Lists!$C$58:$C$65,MATCH(PROPER(TRIM(Raw_Data!J424)),Reference_Lists!$B$58:$B$65,0)),"UNMATCHED")</f>
        <v>Closed</v>
      </c>
      <c r="K410" s="30" t="str">
        <f aca="false">IF(Raw_Data!K424="","",IF(ISTEXT(Raw_Data!K424),IFERROR(DATE(VALUE(RIGHT(TRIM(Raw_Data!K424),4)),VALUE(MID(TRIM(Raw_Data!K424),4,2)),VALUE(LEFT(TRIM(Raw_Data!K424),2))),"CHECK"),Raw_Data!K424))</f>
        <v/>
      </c>
      <c r="L410" s="33" t="str">
        <f aca="false">IF(Raw_Data!L424="","",Raw_Data!L424)</f>
        <v>Water truck did not arrive at the agreed time for three consecutive days.</v>
      </c>
      <c r="M410" s="34" t="str">
        <f aca="false">IF(OR(B410="",K410=""),"",IFERROR(K410-B410,"CHECK"))</f>
        <v/>
      </c>
      <c r="N410" s="34" t="n">
        <f aca="false">IFERROR(INDEX(Reference_Lists!$H$13:$H$14,MATCH(G410,Reference_Lists!$G$13:$G$14,0)),"UNMATCHED")</f>
        <v>15</v>
      </c>
      <c r="O410" s="32" t="str">
        <f aca="false">IF(AND(J410="Closed",ISNUMBER(M410),ISNUMBER(N410),M410&gt;=0),M410&lt;=N410,"NOT ASSESSED")</f>
        <v>NOT ASSESSED</v>
      </c>
      <c r="P410" s="36" t="str">
        <f aca="false">Raw_Data!A424</f>
        <v>CFM-2026-0385</v>
      </c>
      <c r="Q410" s="37" t="str">
        <f aca="false">IFERROR(IF(OR($A410="",$P410=""),"MISSING ID",IF(EXACT($A410,$P410),"ALIGNED","MISMATCH")),"CHECK")</f>
        <v>ALIGNED</v>
      </c>
    </row>
    <row r="411" customFormat="false" ht="19.5" hidden="false" customHeight="true" outlineLevel="0" collapsed="false">
      <c r="A411" s="29" t="s">
        <v>537</v>
      </c>
      <c r="B411" s="30" t="n">
        <f aca="false">IF(Raw_Data!B425="","",IF(ISTEXT(Raw_Data!B425),IFERROR(DATE(VALUE(RIGHT(TRIM(Raw_Data!B425),4)),VALUE(MID(TRIM(Raw_Data!B425),4,2)),VALUE(LEFT(TRIM(Raw_Data!B425),2))),"CHECK"),Raw_Data!B425))</f>
        <v>46169</v>
      </c>
      <c r="C411" s="31" t="str">
        <f aca="false">IFERROR(INDEX(Reference_Lists!$C$23:$C$35,MATCH(PROPER(TRIM(Raw_Data!C425)),Reference_Lists!$B$23:$B$35,0)),"UNMATCHED")</f>
        <v>Community Focal Point</v>
      </c>
      <c r="D411" s="31" t="str">
        <f aca="false">IFERROR(INDEX(Reference_Lists!$C$36:$C$50,MATCH(PROPER(TRIM(Raw_Data!D425)),Reference_Lists!$B$36:$B$50,0)),"UNMATCHED")</f>
        <v>Jabalia</v>
      </c>
      <c r="E411" s="31" t="str">
        <f aca="false">IF(Raw_Data!E425="","",Raw_Data!E425)</f>
        <v>WASH</v>
      </c>
      <c r="F411" s="31" t="str">
        <f aca="false">IF(Raw_Data!F425="","",Raw_Data!F425)</f>
        <v>Suggestion</v>
      </c>
      <c r="G411" s="32" t="str">
        <f aca="false">IF(Raw_Data!G425="","",Raw_Data!G425)</f>
        <v>Non-Sensitive</v>
      </c>
      <c r="H411" s="32" t="str">
        <f aca="false">IFERROR(INDEX(Reference_Lists!$C$51:$C$57,MATCH(PROPER(TRIM(Raw_Data!H425)),Reference_Lists!$B$51:$B$57,0)),"UNMATCHED")</f>
        <v>Prefer not to say</v>
      </c>
      <c r="I411" s="32" t="str">
        <f aca="false">IF(Raw_Data!I425="","",Raw_Data!I425)</f>
        <v>30-44</v>
      </c>
      <c r="J411" s="32" t="str">
        <f aca="false">IFERROR(INDEX(Reference_Lists!$C$58:$C$65,MATCH(PROPER(TRIM(Raw_Data!J425)),Reference_Lists!$B$58:$B$65,0)),"UNMATCHED")</f>
        <v>Open</v>
      </c>
      <c r="K411" s="30" t="str">
        <f aca="false">IF(Raw_Data!K425="","",IF(ISTEXT(Raw_Data!K425),IFERROR(DATE(VALUE(RIGHT(TRIM(Raw_Data!K425),4)),VALUE(MID(TRIM(Raw_Data!K425),4,2)),VALUE(LEFT(TRIM(Raw_Data!K425),2))),"CHECK"),Raw_Data!K425))</f>
        <v/>
      </c>
      <c r="L411" s="33" t="str">
        <f aca="false">IF(Raw_Data!L425="","",Raw_Data!L425)</f>
        <v>Latrine at the site block needs cleaning and lighting at night.</v>
      </c>
      <c r="M411" s="34" t="str">
        <f aca="false">IF(OR(B411="",K411=""),"",IFERROR(K411-B411,"CHECK"))</f>
        <v/>
      </c>
      <c r="N411" s="34" t="n">
        <f aca="false">IFERROR(INDEX(Reference_Lists!$H$13:$H$14,MATCH(G411,Reference_Lists!$G$13:$G$14,0)),"UNMATCHED")</f>
        <v>15</v>
      </c>
      <c r="O411" s="32" t="str">
        <f aca="false">IF(AND(J411="Closed",ISNUMBER(M411),ISNUMBER(N411),M411&gt;=0),M411&lt;=N411,"NOT ASSESSED")</f>
        <v>NOT ASSESSED</v>
      </c>
      <c r="P411" s="36" t="str">
        <f aca="false">Raw_Data!A425</f>
        <v>CFM-2026-0418</v>
      </c>
      <c r="Q411" s="37" t="str">
        <f aca="false">IFERROR(IF(OR($A411="",$P411=""),"MISSING ID",IF(EXACT($A411,$P411),"ALIGNED","MISMATCH")),"CHECK")</f>
        <v>ALIGNED</v>
      </c>
    </row>
    <row r="412" customFormat="false" ht="19.5" hidden="false" customHeight="true" outlineLevel="0" collapsed="false">
      <c r="A412" s="29" t="s">
        <v>538</v>
      </c>
      <c r="B412" s="30" t="n">
        <f aca="false">IF(Raw_Data!B426="","",IF(ISTEXT(Raw_Data!B426),IFERROR(DATE(VALUE(RIGHT(TRIM(Raw_Data!B426),4)),VALUE(MID(TRIM(Raw_Data!B426),4,2)),VALUE(LEFT(TRIM(Raw_Data!B426),2))),"CHECK"),Raw_Data!B426))</f>
        <v>46227</v>
      </c>
      <c r="C412" s="31" t="str">
        <f aca="false">IFERROR(INDEX(Reference_Lists!$C$23:$C$35,MATCH(PROPER(TRIM(Raw_Data!C426)),Reference_Lists!$B$23:$B$35,0)),"UNMATCHED")</f>
        <v>Community Focal Point</v>
      </c>
      <c r="D412" s="31" t="str">
        <f aca="false">IFERROR(INDEX(Reference_Lists!$C$36:$C$50,MATCH(PROPER(TRIM(Raw_Data!D426)),Reference_Lists!$B$36:$B$50,0)),"UNMATCHED")</f>
        <v>Deir al-Balah</v>
      </c>
      <c r="E412" s="31" t="str">
        <f aca="false">IF(Raw_Data!E426="","",Raw_Data!E426)</f>
        <v>Food Security</v>
      </c>
      <c r="F412" s="31" t="str">
        <f aca="false">IF(Raw_Data!F426="","",Raw_Data!F426)</f>
        <v>Request for Information</v>
      </c>
      <c r="G412" s="32" t="str">
        <f aca="false">IF(Raw_Data!G426="","",Raw_Data!G426)</f>
        <v>Non-Sensitive</v>
      </c>
      <c r="H412" s="32" t="str">
        <f aca="false">IFERROR(INDEX(Reference_Lists!$C$51:$C$57,MATCH(PROPER(TRIM(Raw_Data!H426)),Reference_Lists!$B$51:$B$57,0)),"UNMATCHED")</f>
        <v>Female</v>
      </c>
      <c r="I412" s="32" t="str">
        <f aca="false">IF(Raw_Data!I426="","",Raw_Data!I426)</f>
        <v>30-44</v>
      </c>
      <c r="J412" s="32" t="str">
        <f aca="false">IFERROR(INDEX(Reference_Lists!$C$58:$C$65,MATCH(PROPER(TRIM(Raw_Data!J426)),Reference_Lists!$B$58:$B$65,0)),"UNMATCHED")</f>
        <v>Closed</v>
      </c>
      <c r="K412" s="30" t="n">
        <f aca="false">IF(Raw_Data!K426="","",IF(ISTEXT(Raw_Data!K426),IFERROR(DATE(VALUE(RIGHT(TRIM(Raw_Data!K426),4)),VALUE(MID(TRIM(Raw_Data!K426),4,2)),VALUE(LEFT(TRIM(Raw_Data!K426),2))),"CHECK"),Raw_Data!K426))</f>
        <v>46253</v>
      </c>
      <c r="L412" s="33" t="str">
        <f aca="false">IF(Raw_Data!L426="","",Raw_Data!L426)</f>
        <v>Food parcel contents did not match the announced list.</v>
      </c>
      <c r="M412" s="34" t="n">
        <f aca="false">IF(OR(B412="",K412=""),"",IFERROR(K412-B412,"CHECK"))</f>
        <v>26</v>
      </c>
      <c r="N412" s="34" t="n">
        <f aca="false">IFERROR(INDEX(Reference_Lists!$H$13:$H$14,MATCH(G412,Reference_Lists!$G$13:$G$14,0)),"UNMATCHED")</f>
        <v>15</v>
      </c>
      <c r="O412" s="35" t="b">
        <f aca="false">IF(AND(J412="Closed",ISNUMBER(M412),ISNUMBER(N412),M412&gt;=0),M412&lt;=N412,"NOT ASSESSED")</f>
        <v>0</v>
      </c>
      <c r="P412" s="36" t="str">
        <f aca="false">Raw_Data!A426</f>
        <v>CFM-2026-0351</v>
      </c>
      <c r="Q412" s="37" t="str">
        <f aca="false">IFERROR(IF(OR($A412="",$P412=""),"MISSING ID",IF(EXACT($A412,$P412),"ALIGNED","MISMATCH")),"CHECK")</f>
        <v>ALIGNED</v>
      </c>
    </row>
    <row r="413" customFormat="false" ht="19.5" hidden="false" customHeight="true" outlineLevel="0" collapsed="false">
      <c r="A413" s="29" t="s">
        <v>539</v>
      </c>
      <c r="B413" s="30" t="n">
        <f aca="false">IF(Raw_Data!B427="","",IF(ISTEXT(Raw_Data!B427),IFERROR(DATE(VALUE(RIGHT(TRIM(Raw_Data!B427),4)),VALUE(MID(TRIM(Raw_Data!B427),4,2)),VALUE(LEFT(TRIM(Raw_Data!B427),2))),"CHECK"),Raw_Data!B427))</f>
        <v>46072</v>
      </c>
      <c r="C413" s="31" t="str">
        <f aca="false">IFERROR(INDEX(Reference_Lists!$C$23:$C$35,MATCH(PROPER(TRIM(Raw_Data!C427)),Reference_Lists!$B$23:$B$35,0)),"UNMATCHED")</f>
        <v>Community Focal Point</v>
      </c>
      <c r="D413" s="31" t="str">
        <f aca="false">IFERROR(INDEX(Reference_Lists!$C$36:$C$50,MATCH(PROPER(TRIM(Raw_Data!D427)),Reference_Lists!$B$36:$B$50,0)),"UNMATCHED")</f>
        <v>Jabalia</v>
      </c>
      <c r="E413" s="31" t="str">
        <f aca="false">IF(Raw_Data!E427="","",Raw_Data!E427)</f>
        <v>Shelter</v>
      </c>
      <c r="F413" s="31" t="str">
        <f aca="false">IF(Raw_Data!F427="","",Raw_Data!F427)</f>
        <v>Suggestion</v>
      </c>
      <c r="G413" s="32" t="str">
        <f aca="false">IF(Raw_Data!G427="","",Raw_Data!G427)</f>
        <v>Non-Sensitive</v>
      </c>
      <c r="H413" s="32" t="str">
        <f aca="false">IFERROR(INDEX(Reference_Lists!$C$51:$C$57,MATCH(PROPER(TRIM(Raw_Data!H427)),Reference_Lists!$B$51:$B$57,0)),"UNMATCHED")</f>
        <v>Female</v>
      </c>
      <c r="I413" s="32" t="str">
        <f aca="false">IF(Raw_Data!I427="","",Raw_Data!I427)</f>
        <v>30-44</v>
      </c>
      <c r="J413" s="32" t="str">
        <f aca="false">IFERROR(INDEX(Reference_Lists!$C$58:$C$65,MATCH(PROPER(TRIM(Raw_Data!J427)),Reference_Lists!$B$58:$B$65,0)),"UNMATCHED")</f>
        <v>Closed</v>
      </c>
      <c r="K413" s="30" t="n">
        <f aca="false">IF(Raw_Data!K427="","",IF(ISTEXT(Raw_Data!K427),IFERROR(DATE(VALUE(RIGHT(TRIM(Raw_Data!K427),4)),VALUE(MID(TRIM(Raw_Data!K427),4,2)),VALUE(LEFT(TRIM(Raw_Data!K427),2))),"CHECK"),Raw_Data!K427))</f>
        <v>46079</v>
      </c>
      <c r="L413" s="33" t="str">
        <f aca="false">IF(Raw_Data!L427="","",Raw_Data!L427)</f>
        <v/>
      </c>
      <c r="M413" s="34" t="n">
        <f aca="false">IF(OR(B413="",K413=""),"",IFERROR(K413-B413,"CHECK"))</f>
        <v>7</v>
      </c>
      <c r="N413" s="34" t="n">
        <f aca="false">IFERROR(INDEX(Reference_Lists!$H$13:$H$14,MATCH(G413,Reference_Lists!$G$13:$G$14,0)),"UNMATCHED")</f>
        <v>15</v>
      </c>
      <c r="O413" s="35" t="b">
        <f aca="false">IF(AND(J413="Closed",ISNUMBER(M413),ISNUMBER(N413),M413&gt;=0),M413&lt;=N413,"NOT ASSESSED")</f>
        <v>1</v>
      </c>
      <c r="P413" s="36" t="str">
        <f aca="false">Raw_Data!A427</f>
        <v>CFM-2026-0119</v>
      </c>
      <c r="Q413" s="37" t="str">
        <f aca="false">IFERROR(IF(OR($A413="",$P413=""),"MISSING ID",IF(EXACT($A413,$P413),"ALIGNED","MISMATCH")),"CHECK")</f>
        <v>ALIGNED</v>
      </c>
    </row>
    <row r="414" customFormat="false" ht="19.5" hidden="false" customHeight="true" outlineLevel="0" collapsed="false">
      <c r="A414" s="29" t="s">
        <v>540</v>
      </c>
      <c r="B414" s="30" t="n">
        <f aca="false">IF(Raw_Data!B428="","",IF(ISTEXT(Raw_Data!B428),IFERROR(DATE(VALUE(RIGHT(TRIM(Raw_Data!B428),4)),VALUE(MID(TRIM(Raw_Data!B428),4,2)),VALUE(LEFT(TRIM(Raw_Data!B428),2))),"CHECK"),Raw_Data!B428))</f>
        <v>46203</v>
      </c>
      <c r="C414" s="31" t="str">
        <f aca="false">IFERROR(INDEX(Reference_Lists!$C$23:$C$35,MATCH(PROPER(TRIM(Raw_Data!C428)),Reference_Lists!$B$23:$B$35,0)),"UNMATCHED")</f>
        <v>Phone Hotline</v>
      </c>
      <c r="D414" s="31" t="str">
        <f aca="false">IFERROR(INDEX(Reference_Lists!$C$36:$C$50,MATCH(PROPER(TRIM(Raw_Data!D428)),Reference_Lists!$B$36:$B$50,0)),"UNMATCHED")</f>
        <v>Deir al-Balah</v>
      </c>
      <c r="E414" s="31" t="str">
        <f aca="false">IF(Raw_Data!E428="","",Raw_Data!E428)</f>
        <v>WASH</v>
      </c>
      <c r="F414" s="31" t="str">
        <f aca="false">IF(Raw_Data!F428="","",Raw_Data!F428)</f>
        <v>Complaint</v>
      </c>
      <c r="G414" s="32" t="str">
        <f aca="false">IF(Raw_Data!G428="","",Raw_Data!G428)</f>
        <v>Non-Sensitive</v>
      </c>
      <c r="H414" s="32" t="str">
        <f aca="false">IFERROR(INDEX(Reference_Lists!$C$51:$C$57,MATCH(PROPER(TRIM(Raw_Data!H428)),Reference_Lists!$B$51:$B$57,0)),"UNMATCHED")</f>
        <v>Female</v>
      </c>
      <c r="I414" s="32" t="str">
        <f aca="false">IF(Raw_Data!I428="","",Raw_Data!I428)</f>
        <v>18-29</v>
      </c>
      <c r="J414" s="32" t="str">
        <f aca="false">IFERROR(INDEX(Reference_Lists!$C$58:$C$65,MATCH(PROPER(TRIM(Raw_Data!J428)),Reference_Lists!$B$58:$B$65,0)),"UNMATCHED")</f>
        <v>Closed</v>
      </c>
      <c r="K414" s="30" t="str">
        <f aca="false">IF(Raw_Data!K428="","",IF(ISTEXT(Raw_Data!K428),IFERROR(DATE(VALUE(RIGHT(TRIM(Raw_Data!K428),4)),VALUE(MID(TRIM(Raw_Data!K428),4,2)),VALUE(LEFT(TRIM(Raw_Data!K428),2))),"CHECK"),Raw_Data!K428))</f>
        <v/>
      </c>
      <c r="L414" s="33" t="str">
        <f aca="false">IF(Raw_Data!L428="","",Raw_Data!L428)</f>
        <v>The queue at the water point is not organised and older people cannot wait.</v>
      </c>
      <c r="M414" s="34" t="str">
        <f aca="false">IF(OR(B414="",K414=""),"",IFERROR(K414-B414,"CHECK"))</f>
        <v/>
      </c>
      <c r="N414" s="34" t="n">
        <f aca="false">IFERROR(INDEX(Reference_Lists!$H$13:$H$14,MATCH(G414,Reference_Lists!$G$13:$G$14,0)),"UNMATCHED")</f>
        <v>15</v>
      </c>
      <c r="O414" s="32" t="str">
        <f aca="false">IF(AND(J414="Closed",ISNUMBER(M414),ISNUMBER(N414),M414&gt;=0),M414&lt;=N414,"NOT ASSESSED")</f>
        <v>NOT ASSESSED</v>
      </c>
      <c r="P414" s="36" t="str">
        <f aca="false">Raw_Data!A428</f>
        <v>CFM-2026-0255</v>
      </c>
      <c r="Q414" s="37" t="str">
        <f aca="false">IFERROR(IF(OR($A414="",$P414=""),"MISSING ID",IF(EXACT($A414,$P414),"ALIGNED","MISMATCH")),"CHECK")</f>
        <v>ALIGNED</v>
      </c>
    </row>
    <row r="415" customFormat="false" ht="19.5" hidden="false" customHeight="true" outlineLevel="0" collapsed="false">
      <c r="A415" s="29" t="s">
        <v>541</v>
      </c>
      <c r="B415" s="30" t="n">
        <f aca="false">IF(Raw_Data!B429="","",IF(ISTEXT(Raw_Data!B429),IFERROR(DATE(VALUE(RIGHT(TRIM(Raw_Data!B429),4)),VALUE(MID(TRIM(Raw_Data!B429),4,2)),VALUE(LEFT(TRIM(Raw_Data!B429),2))),"CHECK"),Raw_Data!B429))</f>
        <v>46224</v>
      </c>
      <c r="C415" s="31" t="str">
        <f aca="false">IFERROR(INDEX(Reference_Lists!$C$23:$C$35,MATCH(PROPER(TRIM(Raw_Data!C429)),Reference_Lists!$B$23:$B$35,0)),"UNMATCHED")</f>
        <v>In-Person at Distribution</v>
      </c>
      <c r="D415" s="31" t="str">
        <f aca="false">IFERROR(INDEX(Reference_Lists!$C$36:$C$50,MATCH(PROPER(TRIM(Raw_Data!D429)),Reference_Lists!$B$36:$B$50,0)),"UNMATCHED")</f>
        <v>Jabalia</v>
      </c>
      <c r="E415" s="31" t="str">
        <f aca="false">IF(Raw_Data!E429="","",Raw_Data!E429)</f>
        <v>Food Security</v>
      </c>
      <c r="F415" s="31" t="str">
        <f aca="false">IF(Raw_Data!F429="","",Raw_Data!F429)</f>
        <v>Complaint</v>
      </c>
      <c r="G415" s="32" t="str">
        <f aca="false">IF(Raw_Data!G429="","",Raw_Data!G429)</f>
        <v>Non-Sensitive</v>
      </c>
      <c r="H415" s="32" t="str">
        <f aca="false">IFERROR(INDEX(Reference_Lists!$C$51:$C$57,MATCH(PROPER(TRIM(Raw_Data!H429)),Reference_Lists!$B$51:$B$57,0)),"UNMATCHED")</f>
        <v>Female</v>
      </c>
      <c r="I415" s="32" t="str">
        <f aca="false">IF(Raw_Data!I429="","",Raw_Data!I429)</f>
        <v>30-44</v>
      </c>
      <c r="J415" s="32" t="str">
        <f aca="false">IFERROR(INDEX(Reference_Lists!$C$58:$C$65,MATCH(PROPER(TRIM(Raw_Data!J429)),Reference_Lists!$B$58:$B$65,0)),"UNMATCHED")</f>
        <v>Referred</v>
      </c>
      <c r="K415" s="30" t="str">
        <f aca="false">IF(Raw_Data!K429="","",IF(ISTEXT(Raw_Data!K429),IFERROR(DATE(VALUE(RIGHT(TRIM(Raw_Data!K429),4)),VALUE(MID(TRIM(Raw_Data!K429),4,2)),VALUE(LEFT(TRIM(Raw_Data!K429),2))),"CHECK"),Raw_Data!K429))</f>
        <v/>
      </c>
      <c r="L415" s="33" t="str">
        <f aca="false">IF(Raw_Data!L429="","",Raw_Data!L429)</f>
        <v>Distribution point is far and transport cost is high for our family.</v>
      </c>
      <c r="M415" s="34" t="str">
        <f aca="false">IF(OR(B415="",K415=""),"",IFERROR(K415-B415,"CHECK"))</f>
        <v/>
      </c>
      <c r="N415" s="34" t="n">
        <f aca="false">IFERROR(INDEX(Reference_Lists!$H$13:$H$14,MATCH(G415,Reference_Lists!$G$13:$G$14,0)),"UNMATCHED")</f>
        <v>15</v>
      </c>
      <c r="O415" s="32" t="str">
        <f aca="false">IF(AND(J415="Closed",ISNUMBER(M415),ISNUMBER(N415),M415&gt;=0),M415&lt;=N415,"NOT ASSESSED")</f>
        <v>NOT ASSESSED</v>
      </c>
      <c r="P415" s="36" t="str">
        <f aca="false">Raw_Data!A429</f>
        <v>CFM-2026-0074</v>
      </c>
      <c r="Q415" s="37" t="str">
        <f aca="false">IFERROR(IF(OR($A415="",$P415=""),"MISSING ID",IF(EXACT($A415,$P415),"ALIGNED","MISMATCH")),"CHECK")</f>
        <v>ALIGNED</v>
      </c>
    </row>
    <row r="416" customFormat="false" ht="19.5" hidden="false" customHeight="true" outlineLevel="0" collapsed="false">
      <c r="A416" s="29" t="s">
        <v>542</v>
      </c>
      <c r="B416" s="30" t="n">
        <f aca="false">IF(Raw_Data!B430="","",IF(ISTEXT(Raw_Data!B430),IFERROR(DATE(VALUE(RIGHT(TRIM(Raw_Data!B430),4)),VALUE(MID(TRIM(Raw_Data!B430),4,2)),VALUE(LEFT(TRIM(Raw_Data!B430),2))),"CHECK"),Raw_Data!B430))</f>
        <v>46073</v>
      </c>
      <c r="C416" s="31" t="str">
        <f aca="false">IFERROR(INDEX(Reference_Lists!$C$23:$C$35,MATCH(PROPER(TRIM(Raw_Data!C430)),Reference_Lists!$B$23:$B$35,0)),"UNMATCHED")</f>
        <v>Suggestion Box</v>
      </c>
      <c r="D416" s="31" t="str">
        <f aca="false">IFERROR(INDEX(Reference_Lists!$C$36:$C$50,MATCH(PROPER(TRIM(Raw_Data!D430)),Reference_Lists!$B$36:$B$50,0)),"UNMATCHED")</f>
        <v>Deir al-Balah</v>
      </c>
      <c r="E416" s="31" t="str">
        <f aca="false">IF(Raw_Data!E430="","",Raw_Data!E430)</f>
        <v>Health</v>
      </c>
      <c r="F416" s="31" t="str">
        <f aca="false">IF(Raw_Data!F430="","",Raw_Data!F430)</f>
        <v>Complaint</v>
      </c>
      <c r="G416" s="32" t="str">
        <f aca="false">IF(Raw_Data!G430="","",Raw_Data!G430)</f>
        <v>Non-Sensitive</v>
      </c>
      <c r="H416" s="32" t="str">
        <f aca="false">IFERROR(INDEX(Reference_Lists!$C$51:$C$57,MATCH(PROPER(TRIM(Raw_Data!H430)),Reference_Lists!$B$51:$B$57,0)),"UNMATCHED")</f>
        <v>Male</v>
      </c>
      <c r="I416" s="32" t="str">
        <f aca="false">IF(Raw_Data!I430="","",Raw_Data!I430)</f>
        <v>30-44</v>
      </c>
      <c r="J416" s="32" t="str">
        <f aca="false">IFERROR(INDEX(Reference_Lists!$C$58:$C$65,MATCH(PROPER(TRIM(Raw_Data!J430)),Reference_Lists!$B$58:$B$65,0)),"UNMATCHED")</f>
        <v>Closed</v>
      </c>
      <c r="K416" s="30" t="n">
        <f aca="false">IF(Raw_Data!K430="","",IF(ISTEXT(Raw_Data!K430),IFERROR(DATE(VALUE(RIGHT(TRIM(Raw_Data!K430),4)),VALUE(MID(TRIM(Raw_Data!K430),4,2)),VALUE(LEFT(TRIM(Raw_Data!K430),2))),"CHECK"),Raw_Data!K430))</f>
        <v>46095</v>
      </c>
      <c r="L416" s="33" t="str">
        <f aca="false">IF(Raw_Data!L430="","",Raw_Data!L430)</f>
        <v>Waiting time at the mobile clinic is long during afternoon hours.</v>
      </c>
      <c r="M416" s="34" t="n">
        <f aca="false">IF(OR(B416="",K416=""),"",IFERROR(K416-B416,"CHECK"))</f>
        <v>22</v>
      </c>
      <c r="N416" s="34" t="n">
        <f aca="false">IFERROR(INDEX(Reference_Lists!$H$13:$H$14,MATCH(G416,Reference_Lists!$G$13:$G$14,0)),"UNMATCHED")</f>
        <v>15</v>
      </c>
      <c r="O416" s="35" t="b">
        <f aca="false">IF(AND(J416="Closed",ISNUMBER(M416),ISNUMBER(N416),M416&gt;=0),M416&lt;=N416,"NOT ASSESSED")</f>
        <v>0</v>
      </c>
      <c r="P416" s="36" t="str">
        <f aca="false">Raw_Data!A430</f>
        <v>CFM-2026-0086</v>
      </c>
      <c r="Q416" s="37" t="str">
        <f aca="false">IFERROR(IF(OR($A416="",$P416=""),"MISSING ID",IF(EXACT($A416,$P416),"ALIGNED","MISMATCH")),"CHECK")</f>
        <v>ALIGNED</v>
      </c>
    </row>
    <row r="417" customFormat="false" ht="19.5" hidden="false" customHeight="true" outlineLevel="0" collapsed="false">
      <c r="A417" s="29" t="s">
        <v>543</v>
      </c>
      <c r="B417" s="30" t="n">
        <f aca="false">IF(Raw_Data!B431="","",IF(ISTEXT(Raw_Data!B431),IFERROR(DATE(VALUE(RIGHT(TRIM(Raw_Data!B431),4)),VALUE(MID(TRIM(Raw_Data!B431),4,2)),VALUE(LEFT(TRIM(Raw_Data!B431),2))),"CHECK"),Raw_Data!B431))</f>
        <v>46154</v>
      </c>
      <c r="C417" s="31" t="str">
        <f aca="false">IFERROR(INDEX(Reference_Lists!$C$23:$C$35,MATCH(PROPER(TRIM(Raw_Data!C431)),Reference_Lists!$B$23:$B$35,0)),"UNMATCHED")</f>
        <v>Help Desk</v>
      </c>
      <c r="D417" s="31" t="str">
        <f aca="false">IFERROR(INDEX(Reference_Lists!$C$36:$C$50,MATCH(PROPER(TRIM(Raw_Data!D431)),Reference_Lists!$B$36:$B$50,0)),"UNMATCHED")</f>
        <v>Rafah</v>
      </c>
      <c r="E417" s="31" t="str">
        <f aca="false">IF(Raw_Data!E431="","",Raw_Data!E431)</f>
        <v>Health</v>
      </c>
      <c r="F417" s="31" t="str">
        <f aca="false">IF(Raw_Data!F431="","",Raw_Data!F431)</f>
        <v>Request for Information</v>
      </c>
      <c r="G417" s="32" t="str">
        <f aca="false">IF(Raw_Data!G431="","",Raw_Data!G431)</f>
        <v>Non-Sensitive</v>
      </c>
      <c r="H417" s="32" t="str">
        <f aca="false">IFERROR(INDEX(Reference_Lists!$C$51:$C$57,MATCH(PROPER(TRIM(Raw_Data!H431)),Reference_Lists!$B$51:$B$57,0)),"UNMATCHED")</f>
        <v>Female</v>
      </c>
      <c r="I417" s="32" t="str">
        <f aca="false">IF(Raw_Data!I431="","",Raw_Data!I431)</f>
        <v>30-44</v>
      </c>
      <c r="J417" s="32" t="str">
        <f aca="false">IFERROR(INDEX(Reference_Lists!$C$58:$C$65,MATCH(PROPER(TRIM(Raw_Data!J431)),Reference_Lists!$B$58:$B$65,0)),"UNMATCHED")</f>
        <v>Closed</v>
      </c>
      <c r="K417" s="30" t="n">
        <f aca="false">IF(Raw_Data!K431="","",IF(ISTEXT(Raw_Data!K431),IFERROR(DATE(VALUE(RIGHT(TRIM(Raw_Data!K431),4)),VALUE(MID(TRIM(Raw_Data!K431),4,2)),VALUE(LEFT(TRIM(Raw_Data!K431),2))),"CHECK"),Raw_Data!K431))</f>
        <v>46180</v>
      </c>
      <c r="L417" s="33" t="str">
        <f aca="false">IF(Raw_Data!L431="","",Raw_Data!L431)</f>
        <v>Requesting a referral pathway for a family member with limited mobility.</v>
      </c>
      <c r="M417" s="34" t="n">
        <f aca="false">IF(OR(B417="",K417=""),"",IFERROR(K417-B417,"CHECK"))</f>
        <v>26</v>
      </c>
      <c r="N417" s="34" t="n">
        <f aca="false">IFERROR(INDEX(Reference_Lists!$H$13:$H$14,MATCH(G417,Reference_Lists!$G$13:$G$14,0)),"UNMATCHED")</f>
        <v>15</v>
      </c>
      <c r="O417" s="35" t="b">
        <f aca="false">IF(AND(J417="Closed",ISNUMBER(M417),ISNUMBER(N417),M417&gt;=0),M417&lt;=N417,"NOT ASSESSED")</f>
        <v>0</v>
      </c>
      <c r="P417" s="36" t="str">
        <f aca="false">Raw_Data!A431</f>
        <v>CFM-2026-0495</v>
      </c>
      <c r="Q417" s="37" t="str">
        <f aca="false">IFERROR(IF(OR($A417="",$P417=""),"MISSING ID",IF(EXACT($A417,$P417),"ALIGNED","MISMATCH")),"CHECK")</f>
        <v>ALIGNED</v>
      </c>
    </row>
    <row r="418" customFormat="false" ht="19.5" hidden="false" customHeight="true" outlineLevel="0" collapsed="false">
      <c r="A418" s="29" t="s">
        <v>544</v>
      </c>
      <c r="B418" s="30" t="n">
        <f aca="false">IF(Raw_Data!B432="","",IF(ISTEXT(Raw_Data!B432),IFERROR(DATE(VALUE(RIGHT(TRIM(Raw_Data!B432),4)),VALUE(MID(TRIM(Raw_Data!B432),4,2)),VALUE(LEFT(TRIM(Raw_Data!B432),2))),"CHECK"),Raw_Data!B432))</f>
        <v>46133</v>
      </c>
      <c r="C418" s="31" t="str">
        <f aca="false">IFERROR(INDEX(Reference_Lists!$C$23:$C$35,MATCH(PROPER(TRIM(Raw_Data!C432)),Reference_Lists!$B$23:$B$35,0)),"UNMATCHED")</f>
        <v>Phone Hotline</v>
      </c>
      <c r="D418" s="31" t="str">
        <f aca="false">IFERROR(INDEX(Reference_Lists!$C$36:$C$50,MATCH(PROPER(TRIM(Raw_Data!D432)),Reference_Lists!$B$36:$B$50,0)),"UNMATCHED")</f>
        <v>Gaza City</v>
      </c>
      <c r="E418" s="31" t="str">
        <f aca="false">IF(Raw_Data!E432="","",Raw_Data!E432)</f>
        <v>WASH</v>
      </c>
      <c r="F418" s="31" t="str">
        <f aca="false">IF(Raw_Data!F432="","",Raw_Data!F432)</f>
        <v>Request for Information</v>
      </c>
      <c r="G418" s="32" t="str">
        <f aca="false">IF(Raw_Data!G432="","",Raw_Data!G432)</f>
        <v>Non-Sensitive</v>
      </c>
      <c r="H418" s="32" t="str">
        <f aca="false">IFERROR(INDEX(Reference_Lists!$C$51:$C$57,MATCH(PROPER(TRIM(Raw_Data!H432)),Reference_Lists!$B$51:$B$57,0)),"UNMATCHED")</f>
        <v>Female</v>
      </c>
      <c r="I418" s="32" t="str">
        <f aca="false">IF(Raw_Data!I432="","",Raw_Data!I432)</f>
        <v>18-29</v>
      </c>
      <c r="J418" s="32" t="str">
        <f aca="false">IFERROR(INDEX(Reference_Lists!$C$58:$C$65,MATCH(PROPER(TRIM(Raw_Data!J432)),Reference_Lists!$B$58:$B$65,0)),"UNMATCHED")</f>
        <v>Closed</v>
      </c>
      <c r="K418" s="30" t="n">
        <f aca="false">IF(Raw_Data!K432="","",IF(ISTEXT(Raw_Data!K432),IFERROR(DATE(VALUE(RIGHT(TRIM(Raw_Data!K432),4)),VALUE(MID(TRIM(Raw_Data!K432),4,2)),VALUE(LEFT(TRIM(Raw_Data!K432),2))),"CHECK"),Raw_Data!K432))</f>
        <v>46126</v>
      </c>
      <c r="L418" s="33" t="str">
        <f aca="false">IF(Raw_Data!L432="","",Raw_Data!L432)</f>
        <v>Water truck did not arrive at the agreed time for three consecutive days.</v>
      </c>
      <c r="M418" s="34" t="n">
        <f aca="false">IF(OR(B418="",K418=""),"",IFERROR(K418-B418,"CHECK"))</f>
        <v>-7</v>
      </c>
      <c r="N418" s="34" t="n">
        <f aca="false">IFERROR(INDEX(Reference_Lists!$H$13:$H$14,MATCH(G418,Reference_Lists!$G$13:$G$14,0)),"UNMATCHED")</f>
        <v>15</v>
      </c>
      <c r="O418" s="32" t="str">
        <f aca="false">IF(AND(J418="Closed",ISNUMBER(M418),ISNUMBER(N418),M418&gt;=0),M418&lt;=N418,"NOT ASSESSED")</f>
        <v>NOT ASSESSED</v>
      </c>
      <c r="P418" s="36" t="str">
        <f aca="false">Raw_Data!A432</f>
        <v>CFM-2026-0356</v>
      </c>
      <c r="Q418" s="37" t="str">
        <f aca="false">IFERROR(IF(OR($A418="",$P418=""),"MISSING ID",IF(EXACT($A418,$P418),"ALIGNED","MISMATCH")),"CHECK")</f>
        <v>ALIGNED</v>
      </c>
    </row>
    <row r="419" customFormat="false" ht="19.5" hidden="false" customHeight="true" outlineLevel="0" collapsed="false">
      <c r="A419" s="29" t="s">
        <v>545</v>
      </c>
      <c r="B419" s="30" t="n">
        <f aca="false">IF(Raw_Data!B433="","",IF(ISTEXT(Raw_Data!B433),IFERROR(DATE(VALUE(RIGHT(TRIM(Raw_Data!B433),4)),VALUE(MID(TRIM(Raw_Data!B433),4,2)),VALUE(LEFT(TRIM(Raw_Data!B433),2))),"CHECK"),Raw_Data!B433))</f>
        <v>46039</v>
      </c>
      <c r="C419" s="31" t="str">
        <f aca="false">IFERROR(INDEX(Reference_Lists!$C$23:$C$35,MATCH(PROPER(TRIM(Raw_Data!C433)),Reference_Lists!$B$23:$B$35,0)),"UNMATCHED")</f>
        <v>Phone Hotline</v>
      </c>
      <c r="D419" s="31" t="str">
        <f aca="false">IFERROR(INDEX(Reference_Lists!$C$36:$C$50,MATCH(PROPER(TRIM(Raw_Data!D433)),Reference_Lists!$B$36:$B$50,0)),"UNMATCHED")</f>
        <v>Jabalia</v>
      </c>
      <c r="E419" s="31" t="str">
        <f aca="false">IF(Raw_Data!E433="","",Raw_Data!E433)</f>
        <v>WASH</v>
      </c>
      <c r="F419" s="31" t="str">
        <f aca="false">IF(Raw_Data!F433="","",Raw_Data!F433)</f>
        <v>Request for Information</v>
      </c>
      <c r="G419" s="32" t="str">
        <f aca="false">IF(Raw_Data!G433="","",Raw_Data!G433)</f>
        <v>Non-Sensitive</v>
      </c>
      <c r="H419" s="32" t="str">
        <f aca="false">IFERROR(INDEX(Reference_Lists!$C$51:$C$57,MATCH(PROPER(TRIM(Raw_Data!H433)),Reference_Lists!$B$51:$B$57,0)),"UNMATCHED")</f>
        <v>Female</v>
      </c>
      <c r="I419" s="32" t="str">
        <f aca="false">IF(Raw_Data!I433="","",Raw_Data!I433)</f>
        <v>45-59</v>
      </c>
      <c r="J419" s="32" t="str">
        <f aca="false">IFERROR(INDEX(Reference_Lists!$C$58:$C$65,MATCH(PROPER(TRIM(Raw_Data!J433)),Reference_Lists!$B$58:$B$65,0)),"UNMATCHED")</f>
        <v>Closed</v>
      </c>
      <c r="K419" s="30" t="n">
        <f aca="false">IF(Raw_Data!K433="","",IF(ISTEXT(Raw_Data!K433),IFERROR(DATE(VALUE(RIGHT(TRIM(Raw_Data!K433),4)),VALUE(MID(TRIM(Raw_Data!K433),4,2)),VALUE(LEFT(TRIM(Raw_Data!K433),2))),"CHECK"),Raw_Data!K433))</f>
        <v>46052</v>
      </c>
      <c r="L419" s="33" t="str">
        <f aca="false">IF(Raw_Data!L433="","",Raw_Data!L433)</f>
        <v>The queue at the water point is not organised and older people cannot wait.</v>
      </c>
      <c r="M419" s="34" t="n">
        <f aca="false">IF(OR(B419="",K419=""),"",IFERROR(K419-B419,"CHECK"))</f>
        <v>13</v>
      </c>
      <c r="N419" s="34" t="n">
        <f aca="false">IFERROR(INDEX(Reference_Lists!$H$13:$H$14,MATCH(G419,Reference_Lists!$G$13:$G$14,0)),"UNMATCHED")</f>
        <v>15</v>
      </c>
      <c r="O419" s="35" t="b">
        <f aca="false">IF(AND(J419="Closed",ISNUMBER(M419),ISNUMBER(N419),M419&gt;=0),M419&lt;=N419,"NOT ASSESSED")</f>
        <v>1</v>
      </c>
      <c r="P419" s="36" t="str">
        <f aca="false">Raw_Data!A433</f>
        <v>CFM-2026-0103</v>
      </c>
      <c r="Q419" s="37" t="str">
        <f aca="false">IFERROR(IF(OR($A419="",$P419=""),"MISSING ID",IF(EXACT($A419,$P419),"ALIGNED","MISMATCH")),"CHECK")</f>
        <v>ALIGNED</v>
      </c>
    </row>
    <row r="420" customFormat="false" ht="19.5" hidden="false" customHeight="true" outlineLevel="0" collapsed="false">
      <c r="A420" s="29" t="s">
        <v>546</v>
      </c>
      <c r="B420" s="30" t="n">
        <f aca="false">IF(Raw_Data!B434="","",IF(ISTEXT(Raw_Data!B434),IFERROR(DATE(VALUE(RIGHT(TRIM(Raw_Data!B434),4)),VALUE(MID(TRIM(Raw_Data!B434),4,2)),VALUE(LEFT(TRIM(Raw_Data!B434),2))),"CHECK"),Raw_Data!B434))</f>
        <v>46156</v>
      </c>
      <c r="C420" s="31" t="str">
        <f aca="false">IFERROR(INDEX(Reference_Lists!$C$23:$C$35,MATCH(PROPER(TRIM(Raw_Data!C434)),Reference_Lists!$B$23:$B$35,0)),"UNMATCHED")</f>
        <v>In-Person at Distribution</v>
      </c>
      <c r="D420" s="31" t="str">
        <f aca="false">IFERROR(INDEX(Reference_Lists!$C$36:$C$50,MATCH(PROPER(TRIM(Raw_Data!D434)),Reference_Lists!$B$36:$B$50,0)),"UNMATCHED")</f>
        <v>Deir al-Balah</v>
      </c>
      <c r="E420" s="31" t="str">
        <f aca="false">IF(Raw_Data!E434="","",Raw_Data!E434)</f>
        <v>Food Security</v>
      </c>
      <c r="F420" s="31" t="str">
        <f aca="false">IF(Raw_Data!F434="","",Raw_Data!F434)</f>
        <v>Complaint</v>
      </c>
      <c r="G420" s="32" t="str">
        <f aca="false">IF(Raw_Data!G434="","",Raw_Data!G434)</f>
        <v>Non-Sensitive</v>
      </c>
      <c r="H420" s="32" t="str">
        <f aca="false">IFERROR(INDEX(Reference_Lists!$C$51:$C$57,MATCH(PROPER(TRIM(Raw_Data!H434)),Reference_Lists!$B$51:$B$57,0)),"UNMATCHED")</f>
        <v>Female</v>
      </c>
      <c r="I420" s="32" t="str">
        <f aca="false">IF(Raw_Data!I434="","",Raw_Data!I434)</f>
        <v>45-59</v>
      </c>
      <c r="J420" s="32" t="str">
        <f aca="false">IFERROR(INDEX(Reference_Lists!$C$58:$C$65,MATCH(PROPER(TRIM(Raw_Data!J434)),Reference_Lists!$B$58:$B$65,0)),"UNMATCHED")</f>
        <v>Closed</v>
      </c>
      <c r="K420" s="30" t="n">
        <f aca="false">IF(Raw_Data!K434="","",IF(ISTEXT(Raw_Data!K434),IFERROR(DATE(VALUE(RIGHT(TRIM(Raw_Data!K434),4)),VALUE(MID(TRIM(Raw_Data!K434),4,2)),VALUE(LEFT(TRIM(Raw_Data!K434),2))),"CHECK"),Raw_Data!K434))</f>
        <v>46159</v>
      </c>
      <c r="L420" s="33" t="str">
        <f aca="false">IF(Raw_Data!L434="","",Raw_Data!L434)</f>
        <v>Food parcel contents did not match the announced list.</v>
      </c>
      <c r="M420" s="34" t="n">
        <f aca="false">IF(OR(B420="",K420=""),"",IFERROR(K420-B420,"CHECK"))</f>
        <v>3</v>
      </c>
      <c r="N420" s="34" t="n">
        <f aca="false">IFERROR(INDEX(Reference_Lists!$H$13:$H$14,MATCH(G420,Reference_Lists!$G$13:$G$14,0)),"UNMATCHED")</f>
        <v>15</v>
      </c>
      <c r="O420" s="35" t="b">
        <f aca="false">IF(AND(J420="Closed",ISNUMBER(M420),ISNUMBER(N420),M420&gt;=0),M420&lt;=N420,"NOT ASSESSED")</f>
        <v>1</v>
      </c>
      <c r="P420" s="36" t="str">
        <f aca="false">Raw_Data!A434</f>
        <v>CFM-2026-0380</v>
      </c>
      <c r="Q420" s="37" t="str">
        <f aca="false">IFERROR(IF(OR($A420="",$P420=""),"MISSING ID",IF(EXACT($A420,$P420),"ALIGNED","MISMATCH")),"CHECK")</f>
        <v>ALIGNED</v>
      </c>
    </row>
    <row r="421" customFormat="false" ht="19.5" hidden="false" customHeight="true" outlineLevel="0" collapsed="false">
      <c r="A421" s="29" t="s">
        <v>547</v>
      </c>
      <c r="B421" s="30" t="n">
        <f aca="false">IF(Raw_Data!B435="","",IF(ISTEXT(Raw_Data!B435),IFERROR(DATE(VALUE(RIGHT(TRIM(Raw_Data!B435),4)),VALUE(MID(TRIM(Raw_Data!B435),4,2)),VALUE(LEFT(TRIM(Raw_Data!B435),2))),"CHECK"),Raw_Data!B435))</f>
        <v>46114</v>
      </c>
      <c r="C421" s="31" t="str">
        <f aca="false">IFERROR(INDEX(Reference_Lists!$C$23:$C$35,MATCH(PROPER(TRIM(Raw_Data!C435)),Reference_Lists!$B$23:$B$35,0)),"UNMATCHED")</f>
        <v>Suggestion Box</v>
      </c>
      <c r="D421" s="31" t="str">
        <f aca="false">IFERROR(INDEX(Reference_Lists!$C$36:$C$50,MATCH(PROPER(TRIM(Raw_Data!D435)),Reference_Lists!$B$36:$B$50,0)),"UNMATCHED")</f>
        <v>Jabalia</v>
      </c>
      <c r="E421" s="31" t="str">
        <f aca="false">IF(Raw_Data!E435="","",Raw_Data!E435)</f>
        <v>Food Security</v>
      </c>
      <c r="F421" s="31" t="str">
        <f aca="false">IF(Raw_Data!F435="","",Raw_Data!F435)</f>
        <v>Suggestion</v>
      </c>
      <c r="G421" s="32" t="str">
        <f aca="false">IF(Raw_Data!G435="","",Raw_Data!G435)</f>
        <v>Non-Sensitive</v>
      </c>
      <c r="H421" s="32" t="str">
        <f aca="false">IFERROR(INDEX(Reference_Lists!$C$51:$C$57,MATCH(PROPER(TRIM(Raw_Data!H435)),Reference_Lists!$B$51:$B$57,0)),"UNMATCHED")</f>
        <v>Prefer not to say</v>
      </c>
      <c r="I421" s="32" t="str">
        <f aca="false">IF(Raw_Data!I435="","",Raw_Data!I435)</f>
        <v>30-44</v>
      </c>
      <c r="J421" s="32" t="str">
        <f aca="false">IFERROR(INDEX(Reference_Lists!$C$58:$C$65,MATCH(PROPER(TRIM(Raw_Data!J435)),Reference_Lists!$B$58:$B$65,0)),"UNMATCHED")</f>
        <v>Closed</v>
      </c>
      <c r="K421" s="30" t="n">
        <f aca="false">IF(Raw_Data!K435="","",IF(ISTEXT(Raw_Data!K435),IFERROR(DATE(VALUE(RIGHT(TRIM(Raw_Data!K435),4)),VALUE(MID(TRIM(Raw_Data!K435),4,2)),VALUE(LEFT(TRIM(Raw_Data!K435),2))),"CHECK"),Raw_Data!K435))</f>
        <v>46130</v>
      </c>
      <c r="L421" s="33" t="str">
        <f aca="false">IF(Raw_Data!L435="","",Raw_Data!L435)</f>
        <v>Thanking the team for organising the last distribution well.</v>
      </c>
      <c r="M421" s="34" t="n">
        <f aca="false">IF(OR(B421="",K421=""),"",IFERROR(K421-B421,"CHECK"))</f>
        <v>16</v>
      </c>
      <c r="N421" s="34" t="n">
        <f aca="false">IFERROR(INDEX(Reference_Lists!$H$13:$H$14,MATCH(G421,Reference_Lists!$G$13:$G$14,0)),"UNMATCHED")</f>
        <v>15</v>
      </c>
      <c r="O421" s="35" t="b">
        <f aca="false">IF(AND(J421="Closed",ISNUMBER(M421),ISNUMBER(N421),M421&gt;=0),M421&lt;=N421,"NOT ASSESSED")</f>
        <v>0</v>
      </c>
      <c r="P421" s="36" t="str">
        <f aca="false">Raw_Data!A435</f>
        <v>CFM-2026-0166</v>
      </c>
      <c r="Q421" s="37" t="str">
        <f aca="false">IFERROR(IF(OR($A421="",$P421=""),"MISSING ID",IF(EXACT($A421,$P421),"ALIGNED","MISMATCH")),"CHECK")</f>
        <v>ALIGNED</v>
      </c>
    </row>
    <row r="422" customFormat="false" ht="19.5" hidden="false" customHeight="true" outlineLevel="0" collapsed="false">
      <c r="A422" s="29" t="s">
        <v>548</v>
      </c>
      <c r="B422" s="30" t="n">
        <f aca="false">IF(Raw_Data!B436="","",IF(ISTEXT(Raw_Data!B436),IFERROR(DATE(VALUE(RIGHT(TRIM(Raw_Data!B436),4)),VALUE(MID(TRIM(Raw_Data!B436),4,2)),VALUE(LEFT(TRIM(Raw_Data!B436),2))),"CHECK"),Raw_Data!B436))</f>
        <v>46181</v>
      </c>
      <c r="C422" s="31" t="str">
        <f aca="false">IFERROR(INDEX(Reference_Lists!$C$23:$C$35,MATCH(PROPER(TRIM(Raw_Data!C436)),Reference_Lists!$B$23:$B$35,0)),"UNMATCHED")</f>
        <v>Community Focal Point</v>
      </c>
      <c r="D422" s="31" t="str">
        <f aca="false">IFERROR(INDEX(Reference_Lists!$C$36:$C$50,MATCH(PROPER(TRIM(Raw_Data!D436)),Reference_Lists!$B$36:$B$50,0)),"UNMATCHED")</f>
        <v>Jabalia</v>
      </c>
      <c r="E422" s="31" t="str">
        <f aca="false">IF(Raw_Data!E436="","",Raw_Data!E436)</f>
        <v>WASH</v>
      </c>
      <c r="F422" s="31" t="str">
        <f aca="false">IF(Raw_Data!F436="","",Raw_Data!F436)</f>
        <v>Complaint</v>
      </c>
      <c r="G422" s="32" t="str">
        <f aca="false">IF(Raw_Data!G436="","",Raw_Data!G436)</f>
        <v>Non-Sensitive</v>
      </c>
      <c r="H422" s="32" t="str">
        <f aca="false">IFERROR(INDEX(Reference_Lists!$C$51:$C$57,MATCH(PROPER(TRIM(Raw_Data!H436)),Reference_Lists!$B$51:$B$57,0)),"UNMATCHED")</f>
        <v>Prefer not to say</v>
      </c>
      <c r="I422" s="32" t="str">
        <f aca="false">IF(Raw_Data!I436="","",Raw_Data!I436)</f>
        <v>60+</v>
      </c>
      <c r="J422" s="32" t="str">
        <f aca="false">IFERROR(INDEX(Reference_Lists!$C$58:$C$65,MATCH(PROPER(TRIM(Raw_Data!J436)),Reference_Lists!$B$58:$B$65,0)),"UNMATCHED")</f>
        <v>Closed</v>
      </c>
      <c r="K422" s="30" t="n">
        <f aca="false">IF(Raw_Data!K436="","",IF(ISTEXT(Raw_Data!K436),IFERROR(DATE(VALUE(RIGHT(TRIM(Raw_Data!K436),4)),VALUE(MID(TRIM(Raw_Data!K436),4,2)),VALUE(LEFT(TRIM(Raw_Data!K436),2))),"CHECK"),Raw_Data!K436))</f>
        <v>46202</v>
      </c>
      <c r="L422" s="33" t="str">
        <f aca="false">IF(Raw_Data!L436="","",Raw_Data!L436)</f>
        <v>The queue at the water point is not organised and older people cannot wait.</v>
      </c>
      <c r="M422" s="34" t="n">
        <f aca="false">IF(OR(B422="",K422=""),"",IFERROR(K422-B422,"CHECK"))</f>
        <v>21</v>
      </c>
      <c r="N422" s="34" t="n">
        <f aca="false">IFERROR(INDEX(Reference_Lists!$H$13:$H$14,MATCH(G422,Reference_Lists!$G$13:$G$14,0)),"UNMATCHED")</f>
        <v>15</v>
      </c>
      <c r="O422" s="35" t="b">
        <f aca="false">IF(AND(J422="Closed",ISNUMBER(M422),ISNUMBER(N422),M422&gt;=0),M422&lt;=N422,"NOT ASSESSED")</f>
        <v>0</v>
      </c>
      <c r="P422" s="36" t="str">
        <f aca="false">Raw_Data!A436</f>
        <v>CFM-2026-0029</v>
      </c>
      <c r="Q422" s="37" t="str">
        <f aca="false">IFERROR(IF(OR($A422="",$P422=""),"MISSING ID",IF(EXACT($A422,$P422),"ALIGNED","MISMATCH")),"CHECK")</f>
        <v>ALIGNED</v>
      </c>
    </row>
    <row r="423" customFormat="false" ht="19.5" hidden="false" customHeight="true" outlineLevel="0" collapsed="false">
      <c r="A423" s="29" t="s">
        <v>549</v>
      </c>
      <c r="B423" s="30" t="n">
        <f aca="false">IF(Raw_Data!B437="","",IF(ISTEXT(Raw_Data!B437),IFERROR(DATE(VALUE(RIGHT(TRIM(Raw_Data!B437),4)),VALUE(MID(TRIM(Raw_Data!B437),4,2)),VALUE(LEFT(TRIM(Raw_Data!B437),2))),"CHECK"),Raw_Data!B437))</f>
        <v>46062</v>
      </c>
      <c r="C423" s="31" t="str">
        <f aca="false">IFERROR(INDEX(Reference_Lists!$C$23:$C$35,MATCH(PROPER(TRIM(Raw_Data!C437)),Reference_Lists!$B$23:$B$35,0)),"UNMATCHED")</f>
        <v>Suggestion Box</v>
      </c>
      <c r="D423" s="31" t="str">
        <f aca="false">IFERROR(INDEX(Reference_Lists!$C$36:$C$50,MATCH(PROPER(TRIM(Raw_Data!D437)),Reference_Lists!$B$36:$B$50,0)),"UNMATCHED")</f>
        <v>Nuseirat</v>
      </c>
      <c r="E423" s="31" t="str">
        <f aca="false">IF(Raw_Data!E437="","",Raw_Data!E437)</f>
        <v>Shelter</v>
      </c>
      <c r="F423" s="31" t="str">
        <f aca="false">IF(Raw_Data!F437="","",Raw_Data!F437)</f>
        <v>Suggestion</v>
      </c>
      <c r="G423" s="32" t="str">
        <f aca="false">IF(Raw_Data!G437="","",Raw_Data!G437)</f>
        <v>Non-Sensitive</v>
      </c>
      <c r="H423" s="32" t="str">
        <f aca="false">IFERROR(INDEX(Reference_Lists!$C$51:$C$57,MATCH(PROPER(TRIM(Raw_Data!H437)),Reference_Lists!$B$51:$B$57,0)),"UNMATCHED")</f>
        <v>Female</v>
      </c>
      <c r="I423" s="32" t="str">
        <f aca="false">IF(Raw_Data!I437="","",Raw_Data!I437)</f>
        <v>60+</v>
      </c>
      <c r="J423" s="32" t="str">
        <f aca="false">IFERROR(INDEX(Reference_Lists!$C$58:$C$65,MATCH(PROPER(TRIM(Raw_Data!J437)),Reference_Lists!$B$58:$B$65,0)),"UNMATCHED")</f>
        <v>Closed</v>
      </c>
      <c r="K423" s="30" t="n">
        <f aca="false">IF(Raw_Data!K437="","",IF(ISTEXT(Raw_Data!K437),IFERROR(DATE(VALUE(RIGHT(TRIM(Raw_Data!K437),4)),VALUE(MID(TRIM(Raw_Data!K437),4,2)),VALUE(LEFT(TRIM(Raw_Data!K437),2))),"CHECK"),Raw_Data!K437))</f>
        <v>46071</v>
      </c>
      <c r="L423" s="33" t="str">
        <f aca="false">IF(Raw_Data!L437="","",Raw_Data!L437)</f>
        <v>Requesting information about the criteria for shelter repair kits.</v>
      </c>
      <c r="M423" s="34" t="n">
        <f aca="false">IF(OR(B423="",K423=""),"",IFERROR(K423-B423,"CHECK"))</f>
        <v>9</v>
      </c>
      <c r="N423" s="34" t="n">
        <f aca="false">IFERROR(INDEX(Reference_Lists!$H$13:$H$14,MATCH(G423,Reference_Lists!$G$13:$G$14,0)),"UNMATCHED")</f>
        <v>15</v>
      </c>
      <c r="O423" s="35" t="b">
        <f aca="false">IF(AND(J423="Closed",ISNUMBER(M423),ISNUMBER(N423),M423&gt;=0),M423&lt;=N423,"NOT ASSESSED")</f>
        <v>1</v>
      </c>
      <c r="P423" s="36" t="str">
        <f aca="false">Raw_Data!A437</f>
        <v>CFM-2026-0115</v>
      </c>
      <c r="Q423" s="37" t="str">
        <f aca="false">IFERROR(IF(OR($A423="",$P423=""),"MISSING ID",IF(EXACT($A423,$P423),"ALIGNED","MISMATCH")),"CHECK")</f>
        <v>ALIGNED</v>
      </c>
    </row>
    <row r="424" customFormat="false" ht="19.5" hidden="false" customHeight="true" outlineLevel="0" collapsed="false">
      <c r="A424" s="29" t="s">
        <v>550</v>
      </c>
      <c r="B424" s="30" t="n">
        <f aca="false">IF(Raw_Data!B438="","",IF(ISTEXT(Raw_Data!B438),IFERROR(DATE(VALUE(RIGHT(TRIM(Raw_Data!B438),4)),VALUE(MID(TRIM(Raw_Data!B438),4,2)),VALUE(LEFT(TRIM(Raw_Data!B438),2))),"CHECK"),Raw_Data!B438))</f>
        <v>46087</v>
      </c>
      <c r="C424" s="31" t="str">
        <f aca="false">IFERROR(INDEX(Reference_Lists!$C$23:$C$35,MATCH(PROPER(TRIM(Raw_Data!C438)),Reference_Lists!$B$23:$B$35,0)),"UNMATCHED")</f>
        <v>In-Person at Distribution</v>
      </c>
      <c r="D424" s="31" t="str">
        <f aca="false">IFERROR(INDEX(Reference_Lists!$C$36:$C$50,MATCH(PROPER(TRIM(Raw_Data!D438)),Reference_Lists!$B$36:$B$50,0)),"UNMATCHED")</f>
        <v>Gaza City</v>
      </c>
      <c r="E424" s="31" t="str">
        <f aca="false">IF(Raw_Data!E438="","",Raw_Data!E438)</f>
        <v>WASH</v>
      </c>
      <c r="F424" s="31" t="str">
        <f aca="false">IF(Raw_Data!F438="","",Raw_Data!F438)</f>
        <v>Sensitive Complaint</v>
      </c>
      <c r="G424" s="32" t="str">
        <f aca="false">IF(Raw_Data!G438="","",Raw_Data!G438)</f>
        <v>Sensitive</v>
      </c>
      <c r="H424" s="32" t="str">
        <f aca="false">IFERROR(INDEX(Reference_Lists!$C$51:$C$57,MATCH(PROPER(TRIM(Raw_Data!H438)),Reference_Lists!$B$51:$B$57,0)),"UNMATCHED")</f>
        <v>Male</v>
      </c>
      <c r="I424" s="32" t="str">
        <f aca="false">IF(Raw_Data!I438="","",Raw_Data!I438)</f>
        <v>45-59</v>
      </c>
      <c r="J424" s="32" t="str">
        <f aca="false">IFERROR(INDEX(Reference_Lists!$C$58:$C$65,MATCH(PROPER(TRIM(Raw_Data!J438)),Reference_Lists!$B$58:$B$65,0)),"UNMATCHED")</f>
        <v>Open</v>
      </c>
      <c r="K424" s="30" t="str">
        <f aca="false">IF(Raw_Data!K438="","",IF(ISTEXT(Raw_Data!K438),IFERROR(DATE(VALUE(RIGHT(TRIM(Raw_Data!K438),4)),VALUE(MID(TRIM(Raw_Data!K438),4,2)),VALUE(LEFT(TRIM(Raw_Data!K438),2))),"CHECK"),Raw_Data!K438))</f>
        <v/>
      </c>
      <c r="L424" s="33" t="str">
        <f aca="false">IF(Raw_Data!L438="","",Raw_Data!L438)</f>
        <v>Sensitive case - details recorded separately by the focal point; not stored in this tracker.</v>
      </c>
      <c r="M424" s="34" t="str">
        <f aca="false">IF(OR(B424="",K424=""),"",IFERROR(K424-B424,"CHECK"))</f>
        <v/>
      </c>
      <c r="N424" s="34" t="n">
        <f aca="false">IFERROR(INDEX(Reference_Lists!$H$13:$H$14,MATCH(G424,Reference_Lists!$G$13:$G$14,0)),"UNMATCHED")</f>
        <v>3</v>
      </c>
      <c r="O424" s="32" t="str">
        <f aca="false">IF(AND(J424="Closed",ISNUMBER(M424),ISNUMBER(N424),M424&gt;=0),M424&lt;=N424,"NOT ASSESSED")</f>
        <v>NOT ASSESSED</v>
      </c>
      <c r="P424" s="36" t="str">
        <f aca="false">Raw_Data!A438</f>
        <v>CFM-2026-0268</v>
      </c>
      <c r="Q424" s="37" t="str">
        <f aca="false">IFERROR(IF(OR($A424="",$P424=""),"MISSING ID",IF(EXACT($A424,$P424),"ALIGNED","MISMATCH")),"CHECK")</f>
        <v>ALIGNED</v>
      </c>
    </row>
    <row r="425" customFormat="false" ht="19.5" hidden="false" customHeight="true" outlineLevel="0" collapsed="false">
      <c r="A425" s="29" t="s">
        <v>551</v>
      </c>
      <c r="B425" s="30" t="n">
        <f aca="false">IF(Raw_Data!B439="","",IF(ISTEXT(Raw_Data!B439),IFERROR(DATE(VALUE(RIGHT(TRIM(Raw_Data!B439),4)),VALUE(MID(TRIM(Raw_Data!B439),4,2)),VALUE(LEFT(TRIM(Raw_Data!B439),2))),"CHECK"),Raw_Data!B439))</f>
        <v>46027</v>
      </c>
      <c r="C425" s="31" t="str">
        <f aca="false">IFERROR(INDEX(Reference_Lists!$C$23:$C$35,MATCH(PROPER(TRIM(Raw_Data!C439)),Reference_Lists!$B$23:$B$35,0)),"UNMATCHED")</f>
        <v>Phone Hotline</v>
      </c>
      <c r="D425" s="31" t="str">
        <f aca="false">IFERROR(INDEX(Reference_Lists!$C$36:$C$50,MATCH(PROPER(TRIM(Raw_Data!D439)),Reference_Lists!$B$36:$B$50,0)),"UNMATCHED")</f>
        <v>Nuseirat</v>
      </c>
      <c r="E425" s="31" t="str">
        <f aca="false">IF(Raw_Data!E439="","",Raw_Data!E439)</f>
        <v>Health</v>
      </c>
      <c r="F425" s="31" t="str">
        <f aca="false">IF(Raw_Data!F439="","",Raw_Data!F439)</f>
        <v>Suggestion</v>
      </c>
      <c r="G425" s="32" t="str">
        <f aca="false">IF(Raw_Data!G439="","",Raw_Data!G439)</f>
        <v>Non-Sensitive</v>
      </c>
      <c r="H425" s="32" t="str">
        <f aca="false">IFERROR(INDEX(Reference_Lists!$C$51:$C$57,MATCH(PROPER(TRIM(Raw_Data!H439)),Reference_Lists!$B$51:$B$57,0)),"UNMATCHED")</f>
        <v>Female</v>
      </c>
      <c r="I425" s="32" t="str">
        <f aca="false">IF(Raw_Data!I439="","",Raw_Data!I439)</f>
        <v>30-44</v>
      </c>
      <c r="J425" s="32" t="str">
        <f aca="false">IFERROR(INDEX(Reference_Lists!$C$58:$C$65,MATCH(PROPER(TRIM(Raw_Data!J439)),Reference_Lists!$B$58:$B$65,0)),"UNMATCHED")</f>
        <v>Closed</v>
      </c>
      <c r="K425" s="30" t="n">
        <f aca="false">IF(Raw_Data!K439="","",IF(ISTEXT(Raw_Data!K439),IFERROR(DATE(VALUE(RIGHT(TRIM(Raw_Data!K439),4)),VALUE(MID(TRIM(Raw_Data!K439),4,2)),VALUE(LEFT(TRIM(Raw_Data!K439),2))),"CHECK"),Raw_Data!K439))</f>
        <v>46047</v>
      </c>
      <c r="L425" s="33" t="str">
        <f aca="false">IF(Raw_Data!L439="","",Raw_Data!L439)</f>
        <v>Clinic opening hours are not clear to the community.</v>
      </c>
      <c r="M425" s="34" t="n">
        <f aca="false">IF(OR(B425="",K425=""),"",IFERROR(K425-B425,"CHECK"))</f>
        <v>20</v>
      </c>
      <c r="N425" s="34" t="n">
        <f aca="false">IFERROR(INDEX(Reference_Lists!$H$13:$H$14,MATCH(G425,Reference_Lists!$G$13:$G$14,0)),"UNMATCHED")</f>
        <v>15</v>
      </c>
      <c r="O425" s="35" t="b">
        <f aca="false">IF(AND(J425="Closed",ISNUMBER(M425),ISNUMBER(N425),M425&gt;=0),M425&lt;=N425,"NOT ASSESSED")</f>
        <v>0</v>
      </c>
      <c r="P425" s="36" t="str">
        <f aca="false">Raw_Data!A439</f>
        <v>CFM-2026-0417</v>
      </c>
      <c r="Q425" s="37" t="str">
        <f aca="false">IFERROR(IF(OR($A425="",$P425=""),"MISSING ID",IF(EXACT($A425,$P425),"ALIGNED","MISMATCH")),"CHECK")</f>
        <v>ALIGNED</v>
      </c>
    </row>
    <row r="426" customFormat="false" ht="19.5" hidden="false" customHeight="true" outlineLevel="0" collapsed="false">
      <c r="A426" s="29" t="s">
        <v>552</v>
      </c>
      <c r="B426" s="30" t="n">
        <f aca="false">IF(Raw_Data!B440="","",IF(ISTEXT(Raw_Data!B440),IFERROR(DATE(VALUE(RIGHT(TRIM(Raw_Data!B440),4)),VALUE(MID(TRIM(Raw_Data!B440),4,2)),VALUE(LEFT(TRIM(Raw_Data!B440),2))),"CHECK"),Raw_Data!B440))</f>
        <v>46071</v>
      </c>
      <c r="C426" s="31" t="str">
        <f aca="false">IFERROR(INDEX(Reference_Lists!$C$23:$C$35,MATCH(PROPER(TRIM(Raw_Data!C440)),Reference_Lists!$B$23:$B$35,0)),"UNMATCHED")</f>
        <v>Help Desk</v>
      </c>
      <c r="D426" s="31" t="str">
        <f aca="false">IFERROR(INDEX(Reference_Lists!$C$36:$C$50,MATCH(PROPER(TRIM(Raw_Data!D440)),Reference_Lists!$B$36:$B$50,0)),"UNMATCHED")</f>
        <v>Jabalia</v>
      </c>
      <c r="E426" s="31" t="str">
        <f aca="false">IF(Raw_Data!E440="","",Raw_Data!E440)</f>
        <v>Shelter</v>
      </c>
      <c r="F426" s="31" t="str">
        <f aca="false">IF(Raw_Data!F440="","",Raw_Data!F440)</f>
        <v>Request for Information</v>
      </c>
      <c r="G426" s="32" t="str">
        <f aca="false">IF(Raw_Data!G440="","",Raw_Data!G440)</f>
        <v>Non-Sensitive</v>
      </c>
      <c r="H426" s="32" t="str">
        <f aca="false">IFERROR(INDEX(Reference_Lists!$C$51:$C$57,MATCH(PROPER(TRIM(Raw_Data!H440)),Reference_Lists!$B$51:$B$57,0)),"UNMATCHED")</f>
        <v>Female</v>
      </c>
      <c r="I426" s="32" t="str">
        <f aca="false">IF(Raw_Data!I440="","",Raw_Data!I440)</f>
        <v>45-59</v>
      </c>
      <c r="J426" s="32" t="str">
        <f aca="false">IFERROR(INDEX(Reference_Lists!$C$58:$C$65,MATCH(PROPER(TRIM(Raw_Data!J440)),Reference_Lists!$B$58:$B$65,0)),"UNMATCHED")</f>
        <v>Closed</v>
      </c>
      <c r="K426" s="30" t="n">
        <f aca="false">IF(Raw_Data!K440="","",IF(ISTEXT(Raw_Data!K440),IFERROR(DATE(VALUE(RIGHT(TRIM(Raw_Data!K440),4)),VALUE(MID(TRIM(Raw_Data!K440),4,2)),VALUE(LEFT(TRIM(Raw_Data!K440),2))),"CHECK"),Raw_Data!K440))</f>
        <v>46089</v>
      </c>
      <c r="L426" s="33" t="str">
        <f aca="false">IF(Raw_Data!L440="","",Raw_Data!L440)</f>
        <v>Requesting information about the criteria for shelter repair kits.</v>
      </c>
      <c r="M426" s="34" t="n">
        <f aca="false">IF(OR(B426="",K426=""),"",IFERROR(K426-B426,"CHECK"))</f>
        <v>18</v>
      </c>
      <c r="N426" s="34" t="n">
        <f aca="false">IFERROR(INDEX(Reference_Lists!$H$13:$H$14,MATCH(G426,Reference_Lists!$G$13:$G$14,0)),"UNMATCHED")</f>
        <v>15</v>
      </c>
      <c r="O426" s="35" t="b">
        <f aca="false">IF(AND(J426="Closed",ISNUMBER(M426),ISNUMBER(N426),M426&gt;=0),M426&lt;=N426,"NOT ASSESSED")</f>
        <v>0</v>
      </c>
      <c r="P426" s="36" t="str">
        <f aca="false">Raw_Data!A440</f>
        <v>CFM-2026-0002</v>
      </c>
      <c r="Q426" s="37" t="str">
        <f aca="false">IFERROR(IF(OR($A426="",$P426=""),"MISSING ID",IF(EXACT($A426,$P426),"ALIGNED","MISMATCH")),"CHECK")</f>
        <v>ALIGNED</v>
      </c>
    </row>
    <row r="427" customFormat="false" ht="19.5" hidden="false" customHeight="true" outlineLevel="0" collapsed="false">
      <c r="A427" s="29" t="s">
        <v>553</v>
      </c>
      <c r="B427" s="30" t="n">
        <f aca="false">IF(Raw_Data!B441="","",IF(ISTEXT(Raw_Data!B441),IFERROR(DATE(VALUE(RIGHT(TRIM(Raw_Data!B441),4)),VALUE(MID(TRIM(Raw_Data!B441),4,2)),VALUE(LEFT(TRIM(Raw_Data!B441),2))),"CHECK"),Raw_Data!B441))</f>
        <v>46110</v>
      </c>
      <c r="C427" s="31" t="str">
        <f aca="false">IFERROR(INDEX(Reference_Lists!$C$23:$C$35,MATCH(PROPER(TRIM(Raw_Data!C441)),Reference_Lists!$B$23:$B$35,0)),"UNMATCHED")</f>
        <v>Phone Hotline</v>
      </c>
      <c r="D427" s="31" t="str">
        <f aca="false">IFERROR(INDEX(Reference_Lists!$C$36:$C$50,MATCH(PROPER(TRIM(Raw_Data!D441)),Reference_Lists!$B$36:$B$50,0)),"UNMATCHED")</f>
        <v>Nuseirat</v>
      </c>
      <c r="E427" s="31" t="str">
        <f aca="false">IF(Raw_Data!E441="","",Raw_Data!E441)</f>
        <v>Food Security</v>
      </c>
      <c r="F427" s="31" t="str">
        <f aca="false">IF(Raw_Data!F441="","",Raw_Data!F441)</f>
        <v>Request for Information</v>
      </c>
      <c r="G427" s="32" t="str">
        <f aca="false">IF(Raw_Data!G441="","",Raw_Data!G441)</f>
        <v>Non-Sensitive</v>
      </c>
      <c r="H427" s="32" t="str">
        <f aca="false">IFERROR(INDEX(Reference_Lists!$C$51:$C$57,MATCH(PROPER(TRIM(Raw_Data!H441)),Reference_Lists!$B$51:$B$57,0)),"UNMATCHED")</f>
        <v>Female</v>
      </c>
      <c r="I427" s="32" t="str">
        <f aca="false">IF(Raw_Data!I441="","",Raw_Data!I441)</f>
        <v>45-59</v>
      </c>
      <c r="J427" s="32" t="str">
        <f aca="false">IFERROR(INDEX(Reference_Lists!$C$58:$C$65,MATCH(PROPER(TRIM(Raw_Data!J441)),Reference_Lists!$B$58:$B$65,0)),"UNMATCHED")</f>
        <v>In Progress</v>
      </c>
      <c r="K427" s="30" t="str">
        <f aca="false">IF(Raw_Data!K441="","",IF(ISTEXT(Raw_Data!K441),IFERROR(DATE(VALUE(RIGHT(TRIM(Raw_Data!K441),4)),VALUE(MID(TRIM(Raw_Data!K441),4,2)),VALUE(LEFT(TRIM(Raw_Data!K441),2))),"CHECK"),Raw_Data!K441))</f>
        <v/>
      </c>
      <c r="L427" s="33" t="str">
        <f aca="false">IF(Raw_Data!L441="","",Raw_Data!L441)</f>
        <v>Asking how the beneficiary list for the next round is prepared.</v>
      </c>
      <c r="M427" s="34" t="str">
        <f aca="false">IF(OR(B427="",K427=""),"",IFERROR(K427-B427,"CHECK"))</f>
        <v/>
      </c>
      <c r="N427" s="34" t="n">
        <f aca="false">IFERROR(INDEX(Reference_Lists!$H$13:$H$14,MATCH(G427,Reference_Lists!$G$13:$G$14,0)),"UNMATCHED")</f>
        <v>15</v>
      </c>
      <c r="O427" s="32" t="str">
        <f aca="false">IF(AND(J427="Closed",ISNUMBER(M427),ISNUMBER(N427),M427&gt;=0),M427&lt;=N427,"NOT ASSESSED")</f>
        <v>NOT ASSESSED</v>
      </c>
      <c r="P427" s="36" t="str">
        <f aca="false">Raw_Data!A441</f>
        <v>CFM-2026-0025</v>
      </c>
      <c r="Q427" s="37" t="str">
        <f aca="false">IFERROR(IF(OR($A427="",$P427=""),"MISSING ID",IF(EXACT($A427,$P427),"ALIGNED","MISMATCH")),"CHECK")</f>
        <v>ALIGNED</v>
      </c>
    </row>
    <row r="428" customFormat="false" ht="19.5" hidden="false" customHeight="true" outlineLevel="0" collapsed="false">
      <c r="A428" s="29" t="s">
        <v>554</v>
      </c>
      <c r="B428" s="30" t="n">
        <f aca="false">IF(Raw_Data!B442="","",IF(ISTEXT(Raw_Data!B442),IFERROR(DATE(VALUE(RIGHT(TRIM(Raw_Data!B442),4)),VALUE(MID(TRIM(Raw_Data!B442),4,2)),VALUE(LEFT(TRIM(Raw_Data!B442),2))),"CHECK"),Raw_Data!B442))</f>
        <v>46193</v>
      </c>
      <c r="C428" s="31" t="str">
        <f aca="false">IFERROR(INDEX(Reference_Lists!$C$23:$C$35,MATCH(PROPER(TRIM(Raw_Data!C442)),Reference_Lists!$B$23:$B$35,0)),"UNMATCHED")</f>
        <v>Phone Hotline</v>
      </c>
      <c r="D428" s="31" t="str">
        <f aca="false">IFERROR(INDEX(Reference_Lists!$C$36:$C$50,MATCH(PROPER(TRIM(Raw_Data!D442)),Reference_Lists!$B$36:$B$50,0)),"UNMATCHED")</f>
        <v>Khan Yunis</v>
      </c>
      <c r="E428" s="31" t="str">
        <f aca="false">IF(Raw_Data!E442="","",Raw_Data!E442)</f>
        <v>Shelter</v>
      </c>
      <c r="F428" s="31" t="str">
        <f aca="false">IF(Raw_Data!F442="","",Raw_Data!F442)</f>
        <v>Suggestion</v>
      </c>
      <c r="G428" s="32" t="str">
        <f aca="false">IF(Raw_Data!G442="","",Raw_Data!G442)</f>
        <v>Non-Sensitive</v>
      </c>
      <c r="H428" s="32" t="str">
        <f aca="false">IFERROR(INDEX(Reference_Lists!$C$51:$C$57,MATCH(PROPER(TRIM(Raw_Data!H442)),Reference_Lists!$B$51:$B$57,0)),"UNMATCHED")</f>
        <v>Male</v>
      </c>
      <c r="I428" s="32" t="str">
        <f aca="false">IF(Raw_Data!I442="","",Raw_Data!I442)</f>
        <v>30-44</v>
      </c>
      <c r="J428" s="32" t="str">
        <f aca="false">IFERROR(INDEX(Reference_Lists!$C$58:$C$65,MATCH(PROPER(TRIM(Raw_Data!J442)),Reference_Lists!$B$58:$B$65,0)),"UNMATCHED")</f>
        <v>Closed</v>
      </c>
      <c r="K428" s="30" t="n">
        <f aca="false">IF(Raw_Data!K442="","",IF(ISTEXT(Raw_Data!K442),IFERROR(DATE(VALUE(RIGHT(TRIM(Raw_Data!K442),4)),VALUE(MID(TRIM(Raw_Data!K442),4,2)),VALUE(LEFT(TRIM(Raw_Data!K442),2))),"CHECK"),Raw_Data!K442))</f>
        <v>46212</v>
      </c>
      <c r="L428" s="33" t="str">
        <f aca="false">IF(Raw_Data!L442="","",Raw_Data!L442)</f>
        <v>Shelter kit delivered on time and the team explained the use clearly.</v>
      </c>
      <c r="M428" s="34" t="n">
        <f aca="false">IF(OR(B428="",K428=""),"",IFERROR(K428-B428,"CHECK"))</f>
        <v>19</v>
      </c>
      <c r="N428" s="34" t="n">
        <f aca="false">IFERROR(INDEX(Reference_Lists!$H$13:$H$14,MATCH(G428,Reference_Lists!$G$13:$G$14,0)),"UNMATCHED")</f>
        <v>15</v>
      </c>
      <c r="O428" s="35" t="b">
        <f aca="false">IF(AND(J428="Closed",ISNUMBER(M428),ISNUMBER(N428),M428&gt;=0),M428&lt;=N428,"NOT ASSESSED")</f>
        <v>0</v>
      </c>
      <c r="P428" s="36" t="str">
        <f aca="false">Raw_Data!A442</f>
        <v>CFM-2026-0082</v>
      </c>
      <c r="Q428" s="37" t="str">
        <f aca="false">IFERROR(IF(OR($A428="",$P428=""),"MISSING ID",IF(EXACT($A428,$P428),"ALIGNED","MISMATCH")),"CHECK")</f>
        <v>ALIGNED</v>
      </c>
    </row>
    <row r="429" customFormat="false" ht="19.5" hidden="false" customHeight="true" outlineLevel="0" collapsed="false">
      <c r="A429" s="29" t="s">
        <v>555</v>
      </c>
      <c r="B429" s="30" t="n">
        <f aca="false">IF(Raw_Data!B443="","",IF(ISTEXT(Raw_Data!B443),IFERROR(DATE(VALUE(RIGHT(TRIM(Raw_Data!B443),4)),VALUE(MID(TRIM(Raw_Data!B443),4,2)),VALUE(LEFT(TRIM(Raw_Data!B443),2))),"CHECK"),Raw_Data!B443))</f>
        <v>46104</v>
      </c>
      <c r="C429" s="31" t="str">
        <f aca="false">IFERROR(INDEX(Reference_Lists!$C$23:$C$35,MATCH(PROPER(TRIM(Raw_Data!C443)),Reference_Lists!$B$23:$B$35,0)),"UNMATCHED")</f>
        <v>Community Focal Point</v>
      </c>
      <c r="D429" s="31" t="str">
        <f aca="false">IFERROR(INDEX(Reference_Lists!$C$36:$C$50,MATCH(PROPER(TRIM(Raw_Data!D443)),Reference_Lists!$B$36:$B$50,0)),"UNMATCHED")</f>
        <v>Nuseirat</v>
      </c>
      <c r="E429" s="31" t="str">
        <f aca="false">IF(Raw_Data!E443="","",Raw_Data!E443)</f>
        <v>Shelter</v>
      </c>
      <c r="F429" s="31" t="str">
        <f aca="false">IF(Raw_Data!F443="","",Raw_Data!F443)</f>
        <v>Complaint</v>
      </c>
      <c r="G429" s="32" t="str">
        <f aca="false">IF(Raw_Data!G443="","",Raw_Data!G443)</f>
        <v>Non-Sensitive</v>
      </c>
      <c r="H429" s="32" t="str">
        <f aca="false">IFERROR(INDEX(Reference_Lists!$C$51:$C$57,MATCH(PROPER(TRIM(Raw_Data!H443)),Reference_Lists!$B$51:$B$57,0)),"UNMATCHED")</f>
        <v>Female</v>
      </c>
      <c r="I429" s="32" t="str">
        <f aca="false">IF(Raw_Data!I443="","",Raw_Data!I443)</f>
        <v>30-44</v>
      </c>
      <c r="J429" s="32" t="str">
        <f aca="false">IFERROR(INDEX(Reference_Lists!$C$58:$C$65,MATCH(PROPER(TRIM(Raw_Data!J443)),Reference_Lists!$B$58:$B$65,0)),"UNMATCHED")</f>
        <v>In Progress</v>
      </c>
      <c r="K429" s="30" t="str">
        <f aca="false">IF(Raw_Data!K443="","",IF(ISTEXT(Raw_Data!K443),IFERROR(DATE(VALUE(RIGHT(TRIM(Raw_Data!K443),4)),VALUE(MID(TRIM(Raw_Data!K443),4,2)),VALUE(LEFT(TRIM(Raw_Data!K443),2))),"CHECK"),Raw_Data!K443))</f>
        <v/>
      </c>
      <c r="L429" s="33" t="str">
        <f aca="false">IF(Raw_Data!L443="","",Raw_Data!L443)</f>
        <v>Shelter kit delivered on time and the team explained the use clearly.</v>
      </c>
      <c r="M429" s="34" t="str">
        <f aca="false">IF(OR(B429="",K429=""),"",IFERROR(K429-B429,"CHECK"))</f>
        <v/>
      </c>
      <c r="N429" s="34" t="n">
        <f aca="false">IFERROR(INDEX(Reference_Lists!$H$13:$H$14,MATCH(G429,Reference_Lists!$G$13:$G$14,0)),"UNMATCHED")</f>
        <v>15</v>
      </c>
      <c r="O429" s="32" t="str">
        <f aca="false">IF(AND(J429="Closed",ISNUMBER(M429),ISNUMBER(N429),M429&gt;=0),M429&lt;=N429,"NOT ASSESSED")</f>
        <v>NOT ASSESSED</v>
      </c>
      <c r="P429" s="36" t="str">
        <f aca="false">Raw_Data!A443</f>
        <v>CFM-2026-0320</v>
      </c>
      <c r="Q429" s="37" t="str">
        <f aca="false">IFERROR(IF(OR($A429="",$P429=""),"MISSING ID",IF(EXACT($A429,$P429),"ALIGNED","MISMATCH")),"CHECK")</f>
        <v>ALIGNED</v>
      </c>
    </row>
    <row r="430" customFormat="false" ht="19.5" hidden="false" customHeight="true" outlineLevel="0" collapsed="false">
      <c r="A430" s="29" t="s">
        <v>556</v>
      </c>
      <c r="B430" s="30" t="n">
        <f aca="false">IF(Raw_Data!B444="","",IF(ISTEXT(Raw_Data!B444),IFERROR(DATE(VALUE(RIGHT(TRIM(Raw_Data!B444),4)),VALUE(MID(TRIM(Raw_Data!B444),4,2)),VALUE(LEFT(TRIM(Raw_Data!B444),2))),"CHECK"),Raw_Data!B444))</f>
        <v>46091</v>
      </c>
      <c r="C430" s="31" t="str">
        <f aca="false">IFERROR(INDEX(Reference_Lists!$C$23:$C$35,MATCH(PROPER(TRIM(Raw_Data!C444)),Reference_Lists!$B$23:$B$35,0)),"UNMATCHED")</f>
        <v>Suggestion Box</v>
      </c>
      <c r="D430" s="31" t="str">
        <f aca="false">IFERROR(INDEX(Reference_Lists!$C$36:$C$50,MATCH(PROPER(TRIM(Raw_Data!D444)),Reference_Lists!$B$36:$B$50,0)),"UNMATCHED")</f>
        <v>Nuseirat</v>
      </c>
      <c r="E430" s="31" t="str">
        <f aca="false">IF(Raw_Data!E444="","",Raw_Data!E444)</f>
        <v>Nutrition</v>
      </c>
      <c r="F430" s="31" t="str">
        <f aca="false">IF(Raw_Data!F444="","",Raw_Data!F444)</f>
        <v>Appreciation</v>
      </c>
      <c r="G430" s="32" t="str">
        <f aca="false">IF(Raw_Data!G444="","",Raw_Data!G444)</f>
        <v>Non-Sensitive</v>
      </c>
      <c r="H430" s="32" t="str">
        <f aca="false">IFERROR(INDEX(Reference_Lists!$C$51:$C$57,MATCH(PROPER(TRIM(Raw_Data!H444)),Reference_Lists!$B$51:$B$57,0)),"UNMATCHED")</f>
        <v>Female</v>
      </c>
      <c r="I430" s="32" t="str">
        <f aca="false">IF(Raw_Data!I444="","",Raw_Data!I444)</f>
        <v>30-44</v>
      </c>
      <c r="J430" s="32" t="str">
        <f aca="false">IFERROR(INDEX(Reference_Lists!$C$58:$C$65,MATCH(PROPER(TRIM(Raw_Data!J444)),Reference_Lists!$B$58:$B$65,0)),"UNMATCHED")</f>
        <v>In Progress</v>
      </c>
      <c r="K430" s="30" t="str">
        <f aca="false">IF(Raw_Data!K444="","",IF(ISTEXT(Raw_Data!K444),IFERROR(DATE(VALUE(RIGHT(TRIM(Raw_Data!K444),4)),VALUE(MID(TRIM(Raw_Data!K444),4,2)),VALUE(LEFT(TRIM(Raw_Data!K444),2))),"CHECK"),Raw_Data!K444))</f>
        <v/>
      </c>
      <c r="L430" s="33" t="str">
        <f aca="false">IF(Raw_Data!L444="","",Raw_Data!L444)</f>
        <v/>
      </c>
      <c r="M430" s="34" t="str">
        <f aca="false">IF(OR(B430="",K430=""),"",IFERROR(K430-B430,"CHECK"))</f>
        <v/>
      </c>
      <c r="N430" s="34" t="n">
        <f aca="false">IFERROR(INDEX(Reference_Lists!$H$13:$H$14,MATCH(G430,Reference_Lists!$G$13:$G$14,0)),"UNMATCHED")</f>
        <v>15</v>
      </c>
      <c r="O430" s="32" t="str">
        <f aca="false">IF(AND(J430="Closed",ISNUMBER(M430),ISNUMBER(N430),M430&gt;=0),M430&lt;=N430,"NOT ASSESSED")</f>
        <v>NOT ASSESSED</v>
      </c>
      <c r="P430" s="36" t="str">
        <f aca="false">Raw_Data!A444</f>
        <v>CFM-2026-0342</v>
      </c>
      <c r="Q430" s="37" t="str">
        <f aca="false">IFERROR(IF(OR($A430="",$P430=""),"MISSING ID",IF(EXACT($A430,$P430),"ALIGNED","MISMATCH")),"CHECK")</f>
        <v>ALIGNED</v>
      </c>
    </row>
    <row r="431" customFormat="false" ht="19.5" hidden="false" customHeight="true" outlineLevel="0" collapsed="false">
      <c r="A431" s="29" t="s">
        <v>557</v>
      </c>
      <c r="B431" s="30" t="n">
        <f aca="false">IF(Raw_Data!B445="","",IF(ISTEXT(Raw_Data!B445),IFERROR(DATE(VALUE(RIGHT(TRIM(Raw_Data!B445),4)),VALUE(MID(TRIM(Raw_Data!B445),4,2)),VALUE(LEFT(TRIM(Raw_Data!B445),2))),"CHECK"),Raw_Data!B445))</f>
        <v>46102</v>
      </c>
      <c r="C431" s="31" t="str">
        <f aca="false">IFERROR(INDEX(Reference_Lists!$C$23:$C$35,MATCH(PROPER(TRIM(Raw_Data!C445)),Reference_Lists!$B$23:$B$35,0)),"UNMATCHED")</f>
        <v>In-Person at Distribution</v>
      </c>
      <c r="D431" s="31" t="str">
        <f aca="false">IFERROR(INDEX(Reference_Lists!$C$36:$C$50,MATCH(PROPER(TRIM(Raw_Data!D445)),Reference_Lists!$B$36:$B$50,0)),"UNMATCHED")</f>
        <v>Jabalia</v>
      </c>
      <c r="E431" s="31" t="str">
        <f aca="false">IF(Raw_Data!E445="","",Raw_Data!E445)</f>
        <v>Food Security</v>
      </c>
      <c r="F431" s="31" t="str">
        <f aca="false">IF(Raw_Data!F445="","",Raw_Data!F445)</f>
        <v>Suggestion</v>
      </c>
      <c r="G431" s="32" t="str">
        <f aca="false">IF(Raw_Data!G445="","",Raw_Data!G445)</f>
        <v>Non-Sensitive</v>
      </c>
      <c r="H431" s="32" t="str">
        <f aca="false">IFERROR(INDEX(Reference_Lists!$C$51:$C$57,MATCH(PROPER(TRIM(Raw_Data!H445)),Reference_Lists!$B$51:$B$57,0)),"UNMATCHED")</f>
        <v>Female</v>
      </c>
      <c r="I431" s="32" t="str">
        <f aca="false">IF(Raw_Data!I445="","",Raw_Data!I445)</f>
        <v>18-29</v>
      </c>
      <c r="J431" s="32" t="str">
        <f aca="false">IFERROR(INDEX(Reference_Lists!$C$58:$C$65,MATCH(PROPER(TRIM(Raw_Data!J445)),Reference_Lists!$B$58:$B$65,0)),"UNMATCHED")</f>
        <v>Closed</v>
      </c>
      <c r="K431" s="30" t="n">
        <f aca="false">IF(Raw_Data!K445="","",IF(ISTEXT(Raw_Data!K445),IFERROR(DATE(VALUE(RIGHT(TRIM(Raw_Data!K445),4)),VALUE(MID(TRIM(Raw_Data!K445),4,2)),VALUE(LEFT(TRIM(Raw_Data!K445),2))),"CHECK"),Raw_Data!K445))</f>
        <v>46104</v>
      </c>
      <c r="L431" s="33" t="str">
        <f aca="false">IF(Raw_Data!L445="","",Raw_Data!L445)</f>
        <v>Thanking the team for organising the last distribution well.</v>
      </c>
      <c r="M431" s="34" t="n">
        <f aca="false">IF(OR(B431="",K431=""),"",IFERROR(K431-B431,"CHECK"))</f>
        <v>2</v>
      </c>
      <c r="N431" s="34" t="n">
        <f aca="false">IFERROR(INDEX(Reference_Lists!$H$13:$H$14,MATCH(G431,Reference_Lists!$G$13:$G$14,0)),"UNMATCHED")</f>
        <v>15</v>
      </c>
      <c r="O431" s="35" t="b">
        <f aca="false">IF(AND(J431="Closed",ISNUMBER(M431),ISNUMBER(N431),M431&gt;=0),M431&lt;=N431,"NOT ASSESSED")</f>
        <v>1</v>
      </c>
      <c r="P431" s="36" t="str">
        <f aca="false">Raw_Data!A445</f>
        <v>CFM-2026-0142</v>
      </c>
      <c r="Q431" s="37" t="str">
        <f aca="false">IFERROR(IF(OR($A431="",$P431=""),"MISSING ID",IF(EXACT($A431,$P431),"ALIGNED","MISMATCH")),"CHECK")</f>
        <v>ALIGNED</v>
      </c>
    </row>
    <row r="432" customFormat="false" ht="19.5" hidden="false" customHeight="true" outlineLevel="0" collapsed="false">
      <c r="A432" s="29" t="s">
        <v>559</v>
      </c>
      <c r="B432" s="30" t="n">
        <f aca="false">IF(Raw_Data!B446="","",IF(ISTEXT(Raw_Data!B446),IFERROR(DATE(VALUE(RIGHT(TRIM(Raw_Data!B446),4)),VALUE(MID(TRIM(Raw_Data!B446),4,2)),VALUE(LEFT(TRIM(Raw_Data!B446),2))),"CHECK"),Raw_Data!B446))</f>
        <v>46177</v>
      </c>
      <c r="C432" s="31" t="str">
        <f aca="false">IFERROR(INDEX(Reference_Lists!$C$23:$C$35,MATCH(PROPER(TRIM(Raw_Data!C446)),Reference_Lists!$B$23:$B$35,0)),"UNMATCHED")</f>
        <v>Suggestion Box</v>
      </c>
      <c r="D432" s="31" t="str">
        <f aca="false">IFERROR(INDEX(Reference_Lists!$C$36:$C$50,MATCH(PROPER(TRIM(Raw_Data!D446)),Reference_Lists!$B$36:$B$50,0)),"UNMATCHED")</f>
        <v>Khan Yunis</v>
      </c>
      <c r="E432" s="31" t="str">
        <f aca="false">IF(Raw_Data!E446="","",Raw_Data!E446)</f>
        <v>Health</v>
      </c>
      <c r="F432" s="31" t="str">
        <f aca="false">IF(Raw_Data!F446="","",Raw_Data!F446)</f>
        <v>Appreciation</v>
      </c>
      <c r="G432" s="32" t="str">
        <f aca="false">IF(Raw_Data!G446="","",Raw_Data!G446)</f>
        <v>Non-Sensitive</v>
      </c>
      <c r="H432" s="32" t="str">
        <f aca="false">IFERROR(INDEX(Reference_Lists!$C$51:$C$57,MATCH(PROPER(TRIM(Raw_Data!H446)),Reference_Lists!$B$51:$B$57,0)),"UNMATCHED")</f>
        <v>Female</v>
      </c>
      <c r="I432" s="32" t="str">
        <f aca="false">IF(Raw_Data!I446="","",Raw_Data!I446)</f>
        <v>18-29</v>
      </c>
      <c r="J432" s="32" t="str">
        <f aca="false">IFERROR(INDEX(Reference_Lists!$C$58:$C$65,MATCH(PROPER(TRIM(Raw_Data!J446)),Reference_Lists!$B$58:$B$65,0)),"UNMATCHED")</f>
        <v>Closed</v>
      </c>
      <c r="K432" s="30" t="n">
        <f aca="false">IF(Raw_Data!K446="","",IF(ISTEXT(Raw_Data!K446),IFERROR(DATE(VALUE(RIGHT(TRIM(Raw_Data!K446),4)),VALUE(MID(TRIM(Raw_Data!K446),4,2)),VALUE(LEFT(TRIM(Raw_Data!K446),2))),"CHECK"),Raw_Data!K446))</f>
        <v>46195</v>
      </c>
      <c r="L432" s="33" t="str">
        <f aca="false">IF(Raw_Data!L446="","",Raw_Data!L446)</f>
        <v>Requesting a referral pathway for a family member with limited mobility.</v>
      </c>
      <c r="M432" s="34" t="n">
        <f aca="false">IF(OR(B432="",K432=""),"",IFERROR(K432-B432,"CHECK"))</f>
        <v>18</v>
      </c>
      <c r="N432" s="34" t="n">
        <f aca="false">IFERROR(INDEX(Reference_Lists!$H$13:$H$14,MATCH(G432,Reference_Lists!$G$13:$G$14,0)),"UNMATCHED")</f>
        <v>15</v>
      </c>
      <c r="O432" s="35" t="b">
        <f aca="false">IF(AND(J432="Closed",ISNUMBER(M432),ISNUMBER(N432),M432&gt;=0),M432&lt;=N432,"NOT ASSESSED")</f>
        <v>0</v>
      </c>
      <c r="P432" s="36" t="str">
        <f aca="false">Raw_Data!A446</f>
        <v>CFM-2026-0396</v>
      </c>
      <c r="Q432" s="37" t="str">
        <f aca="false">IFERROR(IF(OR($A432="",$P432=""),"MISSING ID",IF(EXACT($A432,$P432),"ALIGNED","MISMATCH")),"CHECK")</f>
        <v>ALIGNED</v>
      </c>
    </row>
    <row r="433" customFormat="false" ht="19.5" hidden="false" customHeight="true" outlineLevel="0" collapsed="false">
      <c r="A433" s="29" t="s">
        <v>560</v>
      </c>
      <c r="B433" s="30" t="n">
        <f aca="false">IF(Raw_Data!B447="","",IF(ISTEXT(Raw_Data!B447),IFERROR(DATE(VALUE(RIGHT(TRIM(Raw_Data!B447),4)),VALUE(MID(TRIM(Raw_Data!B447),4,2)),VALUE(LEFT(TRIM(Raw_Data!B447),2))),"CHECK"),Raw_Data!B447))</f>
        <v>46100</v>
      </c>
      <c r="C433" s="31" t="str">
        <f aca="false">IFERROR(INDEX(Reference_Lists!$C$23:$C$35,MATCH(PROPER(TRIM(Raw_Data!C447)),Reference_Lists!$B$23:$B$35,0)),"UNMATCHED")</f>
        <v>Community Focal Point</v>
      </c>
      <c r="D433" s="31" t="str">
        <f aca="false">IFERROR(INDEX(Reference_Lists!$C$36:$C$50,MATCH(PROPER(TRIM(Raw_Data!D447)),Reference_Lists!$B$36:$B$50,0)),"UNMATCHED")</f>
        <v>Jabalia</v>
      </c>
      <c r="E433" s="31" t="str">
        <f aca="false">IF(Raw_Data!E447="","",Raw_Data!E447)</f>
        <v>WASH</v>
      </c>
      <c r="F433" s="31" t="str">
        <f aca="false">IF(Raw_Data!F447="","",Raw_Data!F447)</f>
        <v>Complaint</v>
      </c>
      <c r="G433" s="32" t="str">
        <f aca="false">IF(Raw_Data!G447="","",Raw_Data!G447)</f>
        <v>Non-Sensitive</v>
      </c>
      <c r="H433" s="32" t="str">
        <f aca="false">IFERROR(INDEX(Reference_Lists!$C$51:$C$57,MATCH(PROPER(TRIM(Raw_Data!H447)),Reference_Lists!$B$51:$B$57,0)),"UNMATCHED")</f>
        <v>Male</v>
      </c>
      <c r="I433" s="32" t="str">
        <f aca="false">IF(Raw_Data!I447="","",Raw_Data!I447)</f>
        <v>18-29</v>
      </c>
      <c r="J433" s="32" t="str">
        <f aca="false">IFERROR(INDEX(Reference_Lists!$C$58:$C$65,MATCH(PROPER(TRIM(Raw_Data!J447)),Reference_Lists!$B$58:$B$65,0)),"UNMATCHED")</f>
        <v>In Progress</v>
      </c>
      <c r="K433" s="30" t="str">
        <f aca="false">IF(Raw_Data!K447="","",IF(ISTEXT(Raw_Data!K447),IFERROR(DATE(VALUE(RIGHT(TRIM(Raw_Data!K447),4)),VALUE(MID(TRIM(Raw_Data!K447),4,2)),VALUE(LEFT(TRIM(Raw_Data!K447),2))),"CHECK"),Raw_Data!K447))</f>
        <v/>
      </c>
      <c r="L433" s="33" t="str">
        <f aca="false">IF(Raw_Data!L447="","",Raw_Data!L447)</f>
        <v>Latrine at the site block needs cleaning and lighting at night.</v>
      </c>
      <c r="M433" s="34" t="str">
        <f aca="false">IF(OR(B433="",K433=""),"",IFERROR(K433-B433,"CHECK"))</f>
        <v/>
      </c>
      <c r="N433" s="34" t="n">
        <f aca="false">IFERROR(INDEX(Reference_Lists!$H$13:$H$14,MATCH(G433,Reference_Lists!$G$13:$G$14,0)),"UNMATCHED")</f>
        <v>15</v>
      </c>
      <c r="O433" s="32" t="str">
        <f aca="false">IF(AND(J433="Closed",ISNUMBER(M433),ISNUMBER(N433),M433&gt;=0),M433&lt;=N433,"NOT ASSESSED")</f>
        <v>NOT ASSESSED</v>
      </c>
      <c r="P433" s="36" t="str">
        <f aca="false">Raw_Data!A447</f>
        <v>CFM-2026-0248</v>
      </c>
      <c r="Q433" s="37" t="str">
        <f aca="false">IFERROR(IF(OR($A433="",$P433=""),"MISSING ID",IF(EXACT($A433,$P433),"ALIGNED","MISMATCH")),"CHECK")</f>
        <v>ALIGNED</v>
      </c>
    </row>
    <row r="434" customFormat="false" ht="19.5" hidden="false" customHeight="true" outlineLevel="0" collapsed="false">
      <c r="A434" s="29" t="s">
        <v>561</v>
      </c>
      <c r="B434" s="30" t="n">
        <f aca="false">IF(Raw_Data!B448="","",IF(ISTEXT(Raw_Data!B448),IFERROR(DATE(VALUE(RIGHT(TRIM(Raw_Data!B448),4)),VALUE(MID(TRIM(Raw_Data!B448),4,2)),VALUE(LEFT(TRIM(Raw_Data!B448),2))),"CHECK"),Raw_Data!B448))</f>
        <v>46195</v>
      </c>
      <c r="C434" s="31" t="str">
        <f aca="false">IFERROR(INDEX(Reference_Lists!$C$23:$C$35,MATCH(PROPER(TRIM(Raw_Data!C448)),Reference_Lists!$B$23:$B$35,0)),"UNMATCHED")</f>
        <v>Community Focal Point</v>
      </c>
      <c r="D434" s="31" t="str">
        <f aca="false">IFERROR(INDEX(Reference_Lists!$C$36:$C$50,MATCH(PROPER(TRIM(Raw_Data!D448)),Reference_Lists!$B$36:$B$50,0)),"UNMATCHED")</f>
        <v>Deir al-Balah</v>
      </c>
      <c r="E434" s="31" t="str">
        <f aca="false">IF(Raw_Data!E448="","",Raw_Data!E448)</f>
        <v/>
      </c>
      <c r="F434" s="31" t="str">
        <f aca="false">IF(Raw_Data!F448="","",Raw_Data!F448)</f>
        <v>Complaint</v>
      </c>
      <c r="G434" s="32" t="str">
        <f aca="false">IF(Raw_Data!G448="","",Raw_Data!G448)</f>
        <v>Non-Sensitive</v>
      </c>
      <c r="H434" s="32" t="str">
        <f aca="false">IFERROR(INDEX(Reference_Lists!$C$51:$C$57,MATCH(PROPER(TRIM(Raw_Data!H448)),Reference_Lists!$B$51:$B$57,0)),"UNMATCHED")</f>
        <v>Female</v>
      </c>
      <c r="I434" s="32" t="str">
        <f aca="false">IF(Raw_Data!I448="","",Raw_Data!I448)</f>
        <v>30-44</v>
      </c>
      <c r="J434" s="32" t="str">
        <f aca="false">IFERROR(INDEX(Reference_Lists!$C$58:$C$65,MATCH(PROPER(TRIM(Raw_Data!J448)),Reference_Lists!$B$58:$B$65,0)),"UNMATCHED")</f>
        <v>Closed</v>
      </c>
      <c r="K434" s="30" t="n">
        <f aca="false">IF(Raw_Data!K448="","",IF(ISTEXT(Raw_Data!K448),IFERROR(DATE(VALUE(RIGHT(TRIM(Raw_Data!K448),4)),VALUE(MID(TRIM(Raw_Data!K448),4,2)),VALUE(LEFT(TRIM(Raw_Data!K448),2))),"CHECK"),Raw_Data!K448))</f>
        <v>46202</v>
      </c>
      <c r="L434" s="33" t="str">
        <f aca="false">IF(Raw_Data!L448="","",Raw_Data!L448)</f>
        <v>Shelter kit delivered on time and the team explained the use clearly.</v>
      </c>
      <c r="M434" s="34" t="n">
        <f aca="false">IF(OR(B434="",K434=""),"",IFERROR(K434-B434,"CHECK"))</f>
        <v>7</v>
      </c>
      <c r="N434" s="34" t="n">
        <f aca="false">IFERROR(INDEX(Reference_Lists!$H$13:$H$14,MATCH(G434,Reference_Lists!$G$13:$G$14,0)),"UNMATCHED")</f>
        <v>15</v>
      </c>
      <c r="O434" s="35" t="b">
        <f aca="false">IF(AND(J434="Closed",ISNUMBER(M434),ISNUMBER(N434),M434&gt;=0),M434&lt;=N434,"NOT ASSESSED")</f>
        <v>1</v>
      </c>
      <c r="P434" s="36" t="str">
        <f aca="false">Raw_Data!A448</f>
        <v>CFM-2026-0440</v>
      </c>
      <c r="Q434" s="37" t="str">
        <f aca="false">IFERROR(IF(OR($A434="",$P434=""),"MISSING ID",IF(EXACT($A434,$P434),"ALIGNED","MISMATCH")),"CHECK")</f>
        <v>ALIGNED</v>
      </c>
    </row>
    <row r="435" customFormat="false" ht="19.5" hidden="false" customHeight="true" outlineLevel="0" collapsed="false">
      <c r="A435" s="29" t="s">
        <v>562</v>
      </c>
      <c r="B435" s="30" t="n">
        <f aca="false">IF(Raw_Data!B449="","",IF(ISTEXT(Raw_Data!B449),IFERROR(DATE(VALUE(RIGHT(TRIM(Raw_Data!B449),4)),VALUE(MID(TRIM(Raw_Data!B449),4,2)),VALUE(LEFT(TRIM(Raw_Data!B449),2))),"CHECK"),Raw_Data!B449))</f>
        <v>46124</v>
      </c>
      <c r="C435" s="31" t="str">
        <f aca="false">IFERROR(INDEX(Reference_Lists!$C$23:$C$35,MATCH(PROPER(TRIM(Raw_Data!C449)),Reference_Lists!$B$23:$B$35,0)),"UNMATCHED")</f>
        <v>Suggestion Box</v>
      </c>
      <c r="D435" s="31" t="str">
        <f aca="false">IFERROR(INDEX(Reference_Lists!$C$36:$C$50,MATCH(PROPER(TRIM(Raw_Data!D449)),Reference_Lists!$B$36:$B$50,0)),"UNMATCHED")</f>
        <v>Khan Yunis</v>
      </c>
      <c r="E435" s="31" t="str">
        <f aca="false">IF(Raw_Data!E449="","",Raw_Data!E449)</f>
        <v>Health</v>
      </c>
      <c r="F435" s="31" t="str">
        <f aca="false">IF(Raw_Data!F449="","",Raw_Data!F449)</f>
        <v>Sensitive Complaint</v>
      </c>
      <c r="G435" s="32" t="str">
        <f aca="false">IF(Raw_Data!G449="","",Raw_Data!G449)</f>
        <v>Sensitive</v>
      </c>
      <c r="H435" s="32" t="str">
        <f aca="false">IFERROR(INDEX(Reference_Lists!$C$51:$C$57,MATCH(PROPER(TRIM(Raw_Data!H449)),Reference_Lists!$B$51:$B$57,0)),"UNMATCHED")</f>
        <v>Female</v>
      </c>
      <c r="I435" s="32" t="str">
        <f aca="false">IF(Raw_Data!I449="","",Raw_Data!I449)</f>
        <v>30-44</v>
      </c>
      <c r="J435" s="32" t="str">
        <f aca="false">IFERROR(INDEX(Reference_Lists!$C$58:$C$65,MATCH(PROPER(TRIM(Raw_Data!J449)),Reference_Lists!$B$58:$B$65,0)),"UNMATCHED")</f>
        <v>Closed</v>
      </c>
      <c r="K435" s="30" t="n">
        <f aca="false">IF(Raw_Data!K449="","",IF(ISTEXT(Raw_Data!K449),IFERROR(DATE(VALUE(RIGHT(TRIM(Raw_Data!K449),4)),VALUE(MID(TRIM(Raw_Data!K449),4,2)),VALUE(LEFT(TRIM(Raw_Data!K449),2))),"CHECK"),Raw_Data!K449))</f>
        <v>46152</v>
      </c>
      <c r="L435" s="33" t="str">
        <f aca="false">IF(Raw_Data!L449="","",Raw_Data!L449)</f>
        <v>Sensitive case - details recorded separately by the focal point; not stored in this tracker.</v>
      </c>
      <c r="M435" s="34" t="n">
        <f aca="false">IF(OR(B435="",K435=""),"",IFERROR(K435-B435,"CHECK"))</f>
        <v>28</v>
      </c>
      <c r="N435" s="34" t="n">
        <f aca="false">IFERROR(INDEX(Reference_Lists!$H$13:$H$14,MATCH(G435,Reference_Lists!$G$13:$G$14,0)),"UNMATCHED")</f>
        <v>3</v>
      </c>
      <c r="O435" s="35" t="b">
        <f aca="false">IF(AND(J435="Closed",ISNUMBER(M435),ISNUMBER(N435),M435&gt;=0),M435&lt;=N435,"NOT ASSESSED")</f>
        <v>0</v>
      </c>
      <c r="P435" s="36" t="str">
        <f aca="false">Raw_Data!A449</f>
        <v>CFM-2026-0481</v>
      </c>
      <c r="Q435" s="37" t="str">
        <f aca="false">IFERROR(IF(OR($A435="",$P435=""),"MISSING ID",IF(EXACT($A435,$P435),"ALIGNED","MISMATCH")),"CHECK")</f>
        <v>ALIGNED</v>
      </c>
    </row>
    <row r="436" customFormat="false" ht="19.5" hidden="false" customHeight="true" outlineLevel="0" collapsed="false">
      <c r="A436" s="29" t="s">
        <v>563</v>
      </c>
      <c r="B436" s="30" t="n">
        <f aca="false">IF(Raw_Data!B450="","",IF(ISTEXT(Raw_Data!B450),IFERROR(DATE(VALUE(RIGHT(TRIM(Raw_Data!B450),4)),VALUE(MID(TRIM(Raw_Data!B450),4,2)),VALUE(LEFT(TRIM(Raw_Data!B450),2))),"CHECK"),Raw_Data!B450))</f>
        <v>46129</v>
      </c>
      <c r="C436" s="31" t="str">
        <f aca="false">IFERROR(INDEX(Reference_Lists!$C$23:$C$35,MATCH(PROPER(TRIM(Raw_Data!C450)),Reference_Lists!$B$23:$B$35,0)),"UNMATCHED")</f>
        <v>Help Desk</v>
      </c>
      <c r="D436" s="31" t="str">
        <f aca="false">IFERROR(INDEX(Reference_Lists!$C$36:$C$50,MATCH(PROPER(TRIM(Raw_Data!D450)),Reference_Lists!$B$36:$B$50,0)),"UNMATCHED")</f>
        <v>Nuseirat</v>
      </c>
      <c r="E436" s="31" t="str">
        <f aca="false">IF(Raw_Data!E450="","",Raw_Data!E450)</f>
        <v>Food Security</v>
      </c>
      <c r="F436" s="31" t="str">
        <f aca="false">IF(Raw_Data!F450="","",Raw_Data!F450)</f>
        <v>Complaint</v>
      </c>
      <c r="G436" s="32" t="str">
        <f aca="false">IF(Raw_Data!G450="","",Raw_Data!G450)</f>
        <v>Non-Sensitive</v>
      </c>
      <c r="H436" s="32" t="str">
        <f aca="false">IFERROR(INDEX(Reference_Lists!$C$51:$C$57,MATCH(PROPER(TRIM(Raw_Data!H450)),Reference_Lists!$B$51:$B$57,0)),"UNMATCHED")</f>
        <v>Male</v>
      </c>
      <c r="I436" s="32" t="str">
        <f aca="false">IF(Raw_Data!I450="","",Raw_Data!I450)</f>
        <v>18-29</v>
      </c>
      <c r="J436" s="32" t="str">
        <f aca="false">IFERROR(INDEX(Reference_Lists!$C$58:$C$65,MATCH(PROPER(TRIM(Raw_Data!J450)),Reference_Lists!$B$58:$B$65,0)),"UNMATCHED")</f>
        <v>Closed</v>
      </c>
      <c r="K436" s="30" t="n">
        <f aca="false">IF(Raw_Data!K450="","",IF(ISTEXT(Raw_Data!K450),IFERROR(DATE(VALUE(RIGHT(TRIM(Raw_Data!K450),4)),VALUE(MID(TRIM(Raw_Data!K450),4,2)),VALUE(LEFT(TRIM(Raw_Data!K450),2))),"CHECK"),Raw_Data!K450))</f>
        <v>46145</v>
      </c>
      <c r="L436" s="33" t="str">
        <f aca="false">IF(Raw_Data!L450="","",Raw_Data!L450)</f>
        <v>Thanking the team for organising the last distribution well.</v>
      </c>
      <c r="M436" s="34" t="n">
        <f aca="false">IF(OR(B436="",K436=""),"",IFERROR(K436-B436,"CHECK"))</f>
        <v>16</v>
      </c>
      <c r="N436" s="34" t="n">
        <f aca="false">IFERROR(INDEX(Reference_Lists!$H$13:$H$14,MATCH(G436,Reference_Lists!$G$13:$G$14,0)),"UNMATCHED")</f>
        <v>15</v>
      </c>
      <c r="O436" s="35" t="b">
        <f aca="false">IF(AND(J436="Closed",ISNUMBER(M436),ISNUMBER(N436),M436&gt;=0),M436&lt;=N436,"NOT ASSESSED")</f>
        <v>0</v>
      </c>
      <c r="P436" s="36" t="str">
        <f aca="false">Raw_Data!A450</f>
        <v>CFM-2026-0434</v>
      </c>
      <c r="Q436" s="37" t="str">
        <f aca="false">IFERROR(IF(OR($A436="",$P436=""),"MISSING ID",IF(EXACT($A436,$P436),"ALIGNED","MISMATCH")),"CHECK")</f>
        <v>ALIGNED</v>
      </c>
    </row>
    <row r="437" customFormat="false" ht="19.5" hidden="false" customHeight="true" outlineLevel="0" collapsed="false">
      <c r="A437" s="29" t="s">
        <v>564</v>
      </c>
      <c r="B437" s="30" t="n">
        <f aca="false">IF(Raw_Data!B451="","",IF(ISTEXT(Raw_Data!B451),IFERROR(DATE(VALUE(RIGHT(TRIM(Raw_Data!B451),4)),VALUE(MID(TRIM(Raw_Data!B451),4,2)),VALUE(LEFT(TRIM(Raw_Data!B451),2))),"CHECK"),Raw_Data!B451))</f>
        <v>46139</v>
      </c>
      <c r="C437" s="31" t="str">
        <f aca="false">IFERROR(INDEX(Reference_Lists!$C$23:$C$35,MATCH(PROPER(TRIM(Raw_Data!C451)),Reference_Lists!$B$23:$B$35,0)),"UNMATCHED")</f>
        <v>Suggestion Box</v>
      </c>
      <c r="D437" s="31" t="str">
        <f aca="false">IFERROR(INDEX(Reference_Lists!$C$36:$C$50,MATCH(PROPER(TRIM(Raw_Data!D451)),Reference_Lists!$B$36:$B$50,0)),"UNMATCHED")</f>
        <v>Rafah</v>
      </c>
      <c r="E437" s="31" t="str">
        <f aca="false">IF(Raw_Data!E451="","",Raw_Data!E451)</f>
        <v>Health</v>
      </c>
      <c r="F437" s="31" t="str">
        <f aca="false">IF(Raw_Data!F451="","",Raw_Data!F451)</f>
        <v>Request for Information</v>
      </c>
      <c r="G437" s="32" t="str">
        <f aca="false">IF(Raw_Data!G451="","",Raw_Data!G451)</f>
        <v>Non-Sensitive</v>
      </c>
      <c r="H437" s="32" t="str">
        <f aca="false">IFERROR(INDEX(Reference_Lists!$C$51:$C$57,MATCH(PROPER(TRIM(Raw_Data!H451)),Reference_Lists!$B$51:$B$57,0)),"UNMATCHED")</f>
        <v>Male</v>
      </c>
      <c r="I437" s="32" t="str">
        <f aca="false">IF(Raw_Data!I451="","",Raw_Data!I451)</f>
        <v>30-44</v>
      </c>
      <c r="J437" s="32" t="str">
        <f aca="false">IFERROR(INDEX(Reference_Lists!$C$58:$C$65,MATCH(PROPER(TRIM(Raw_Data!J451)),Reference_Lists!$B$58:$B$65,0)),"UNMATCHED")</f>
        <v>Referred</v>
      </c>
      <c r="K437" s="30" t="str">
        <f aca="false">IF(Raw_Data!K451="","",IF(ISTEXT(Raw_Data!K451),IFERROR(DATE(VALUE(RIGHT(TRIM(Raw_Data!K451),4)),VALUE(MID(TRIM(Raw_Data!K451),4,2)),VALUE(LEFT(TRIM(Raw_Data!K451),2))),"CHECK"),Raw_Data!K451))</f>
        <v/>
      </c>
      <c r="L437" s="33" t="str">
        <f aca="false">IF(Raw_Data!L451="","",Raw_Data!L451)</f>
        <v>Requesting a referral pathway for a family member with limited mobility.</v>
      </c>
      <c r="M437" s="34" t="str">
        <f aca="false">IF(OR(B437="",K437=""),"",IFERROR(K437-B437,"CHECK"))</f>
        <v/>
      </c>
      <c r="N437" s="34" t="n">
        <f aca="false">IFERROR(INDEX(Reference_Lists!$H$13:$H$14,MATCH(G437,Reference_Lists!$G$13:$G$14,0)),"UNMATCHED")</f>
        <v>15</v>
      </c>
      <c r="O437" s="32" t="str">
        <f aca="false">IF(AND(J437="Closed",ISNUMBER(M437),ISNUMBER(N437),M437&gt;=0),M437&lt;=N437,"NOT ASSESSED")</f>
        <v>NOT ASSESSED</v>
      </c>
      <c r="P437" s="36" t="str">
        <f aca="false">Raw_Data!A451</f>
        <v>CFM-2026-0258</v>
      </c>
      <c r="Q437" s="37" t="str">
        <f aca="false">IFERROR(IF(OR($A437="",$P437=""),"MISSING ID",IF(EXACT($A437,$P437),"ALIGNED","MISMATCH")),"CHECK")</f>
        <v>ALIGNED</v>
      </c>
    </row>
    <row r="438" customFormat="false" ht="19.5" hidden="false" customHeight="true" outlineLevel="0" collapsed="false">
      <c r="A438" s="29" t="s">
        <v>565</v>
      </c>
      <c r="B438" s="30" t="n">
        <f aca="false">IF(Raw_Data!B452="","",IF(ISTEXT(Raw_Data!B452),IFERROR(DATE(VALUE(RIGHT(TRIM(Raw_Data!B452),4)),VALUE(MID(TRIM(Raw_Data!B452),4,2)),VALUE(LEFT(TRIM(Raw_Data!B452),2))),"CHECK"),Raw_Data!B452))</f>
        <v>46097</v>
      </c>
      <c r="C438" s="31" t="str">
        <f aca="false">IFERROR(INDEX(Reference_Lists!$C$23:$C$35,MATCH(PROPER(TRIM(Raw_Data!C452)),Reference_Lists!$B$23:$B$35,0)),"UNMATCHED")</f>
        <v>Community Focal Point</v>
      </c>
      <c r="D438" s="31" t="str">
        <f aca="false">IFERROR(INDEX(Reference_Lists!$C$36:$C$50,MATCH(PROPER(TRIM(Raw_Data!D452)),Reference_Lists!$B$36:$B$50,0)),"UNMATCHED")</f>
        <v>Gaza City</v>
      </c>
      <c r="E438" s="31" t="str">
        <f aca="false">IF(Raw_Data!E452="","",Raw_Data!E452)</f>
        <v>Food Security</v>
      </c>
      <c r="F438" s="31" t="str">
        <f aca="false">IF(Raw_Data!F452="","",Raw_Data!F452)</f>
        <v>Suggestion</v>
      </c>
      <c r="G438" s="32" t="str">
        <f aca="false">IF(Raw_Data!G452="","",Raw_Data!G452)</f>
        <v>Non-Sensitive</v>
      </c>
      <c r="H438" s="32" t="str">
        <f aca="false">IFERROR(INDEX(Reference_Lists!$C$51:$C$57,MATCH(PROPER(TRIM(Raw_Data!H452)),Reference_Lists!$B$51:$B$57,0)),"UNMATCHED")</f>
        <v>Male</v>
      </c>
      <c r="I438" s="32" t="str">
        <f aca="false">IF(Raw_Data!I452="","",Raw_Data!I452)</f>
        <v/>
      </c>
      <c r="J438" s="32" t="str">
        <f aca="false">IFERROR(INDEX(Reference_Lists!$C$58:$C$65,MATCH(PROPER(TRIM(Raw_Data!J452)),Reference_Lists!$B$58:$B$65,0)),"UNMATCHED")</f>
        <v>Closed</v>
      </c>
      <c r="K438" s="30" t="n">
        <f aca="false">IF(Raw_Data!K452="","",IF(ISTEXT(Raw_Data!K452),IFERROR(DATE(VALUE(RIGHT(TRIM(Raw_Data!K452),4)),VALUE(MID(TRIM(Raw_Data!K452),4,2)),VALUE(LEFT(TRIM(Raw_Data!K452),2))),"CHECK"),Raw_Data!K452))</f>
        <v>46125</v>
      </c>
      <c r="L438" s="33" t="str">
        <f aca="false">IF(Raw_Data!L452="","",Raw_Data!L452)</f>
        <v>Distribution point is far and transport cost is high for our family.</v>
      </c>
      <c r="M438" s="34" t="n">
        <f aca="false">IF(OR(B438="",K438=""),"",IFERROR(K438-B438,"CHECK"))</f>
        <v>28</v>
      </c>
      <c r="N438" s="34" t="n">
        <f aca="false">IFERROR(INDEX(Reference_Lists!$H$13:$H$14,MATCH(G438,Reference_Lists!$G$13:$G$14,0)),"UNMATCHED")</f>
        <v>15</v>
      </c>
      <c r="O438" s="35" t="b">
        <f aca="false">IF(AND(J438="Closed",ISNUMBER(M438),ISNUMBER(N438),M438&gt;=0),M438&lt;=N438,"NOT ASSESSED")</f>
        <v>0</v>
      </c>
      <c r="P438" s="36" t="str">
        <f aca="false">Raw_Data!A452</f>
        <v>CFM-2026-0261</v>
      </c>
      <c r="Q438" s="37" t="str">
        <f aca="false">IFERROR(IF(OR($A438="",$P438=""),"MISSING ID",IF(EXACT($A438,$P438),"ALIGNED","MISMATCH")),"CHECK")</f>
        <v>ALIGNED</v>
      </c>
    </row>
    <row r="439" customFormat="false" ht="19.5" hidden="false" customHeight="true" outlineLevel="0" collapsed="false">
      <c r="A439" s="29" t="s">
        <v>566</v>
      </c>
      <c r="B439" s="30" t="n">
        <f aca="false">IF(Raw_Data!B453="","",IF(ISTEXT(Raw_Data!B453),IFERROR(DATE(VALUE(RIGHT(TRIM(Raw_Data!B453),4)),VALUE(MID(TRIM(Raw_Data!B453),4,2)),VALUE(LEFT(TRIM(Raw_Data!B453),2))),"CHECK"),Raw_Data!B453))</f>
        <v>46118</v>
      </c>
      <c r="C439" s="31" t="str">
        <f aca="false">IFERROR(INDEX(Reference_Lists!$C$23:$C$35,MATCH(PROPER(TRIM(Raw_Data!C453)),Reference_Lists!$B$23:$B$35,0)),"UNMATCHED")</f>
        <v>In-Person at Distribution</v>
      </c>
      <c r="D439" s="31" t="str">
        <f aca="false">IFERROR(INDEX(Reference_Lists!$C$36:$C$50,MATCH(PROPER(TRIM(Raw_Data!D453)),Reference_Lists!$B$36:$B$50,0)),"UNMATCHED")</f>
        <v>Jabalia</v>
      </c>
      <c r="E439" s="31" t="str">
        <f aca="false">IF(Raw_Data!E453="","",Raw_Data!E453)</f>
        <v>Food Security</v>
      </c>
      <c r="F439" s="31" t="str">
        <f aca="false">IF(Raw_Data!F453="","",Raw_Data!F453)</f>
        <v>Request for Information</v>
      </c>
      <c r="G439" s="32" t="str">
        <f aca="false">IF(Raw_Data!G453="","",Raw_Data!G453)</f>
        <v>Non-Sensitive</v>
      </c>
      <c r="H439" s="32" t="str">
        <f aca="false">IFERROR(INDEX(Reference_Lists!$C$51:$C$57,MATCH(PROPER(TRIM(Raw_Data!H453)),Reference_Lists!$B$51:$B$57,0)),"UNMATCHED")</f>
        <v>Female</v>
      </c>
      <c r="I439" s="32" t="str">
        <f aca="false">IF(Raw_Data!I453="","",Raw_Data!I453)</f>
        <v>30-44</v>
      </c>
      <c r="J439" s="32" t="str">
        <f aca="false">IFERROR(INDEX(Reference_Lists!$C$58:$C$65,MATCH(PROPER(TRIM(Raw_Data!J453)),Reference_Lists!$B$58:$B$65,0)),"UNMATCHED")</f>
        <v>In Progress</v>
      </c>
      <c r="K439" s="30" t="str">
        <f aca="false">IF(Raw_Data!K453="","",IF(ISTEXT(Raw_Data!K453),IFERROR(DATE(VALUE(RIGHT(TRIM(Raw_Data!K453),4)),VALUE(MID(TRIM(Raw_Data!K453),4,2)),VALUE(LEFT(TRIM(Raw_Data!K453),2))),"CHECK"),Raw_Data!K453))</f>
        <v/>
      </c>
      <c r="L439" s="33" t="str">
        <f aca="false">IF(Raw_Data!L453="","",Raw_Data!L453)</f>
        <v>Distribution point is far and transport cost is high for our family.</v>
      </c>
      <c r="M439" s="34" t="str">
        <f aca="false">IF(OR(B439="",K439=""),"",IFERROR(K439-B439,"CHECK"))</f>
        <v/>
      </c>
      <c r="N439" s="34" t="n">
        <f aca="false">IFERROR(INDEX(Reference_Lists!$H$13:$H$14,MATCH(G439,Reference_Lists!$G$13:$G$14,0)),"UNMATCHED")</f>
        <v>15</v>
      </c>
      <c r="O439" s="32" t="str">
        <f aca="false">IF(AND(J439="Closed",ISNUMBER(M439),ISNUMBER(N439),M439&gt;=0),M439&lt;=N439,"NOT ASSESSED")</f>
        <v>NOT ASSESSED</v>
      </c>
      <c r="P439" s="36" t="str">
        <f aca="false">Raw_Data!A453</f>
        <v>CFM-2026-0064</v>
      </c>
      <c r="Q439" s="37" t="str">
        <f aca="false">IFERROR(IF(OR($A439="",$P439=""),"MISSING ID",IF(EXACT($A439,$P439),"ALIGNED","MISMATCH")),"CHECK")</f>
        <v>ALIGNED</v>
      </c>
    </row>
    <row r="440" customFormat="false" ht="19.5" hidden="false" customHeight="true" outlineLevel="0" collapsed="false">
      <c r="A440" s="29" t="s">
        <v>567</v>
      </c>
      <c r="B440" s="30" t="n">
        <f aca="false">IF(Raw_Data!B454="","",IF(ISTEXT(Raw_Data!B454),IFERROR(DATE(VALUE(RIGHT(TRIM(Raw_Data!B454),4)),VALUE(MID(TRIM(Raw_Data!B454),4,2)),VALUE(LEFT(TRIM(Raw_Data!B454),2))),"CHECK"),Raw_Data!B454))</f>
        <v>46227</v>
      </c>
      <c r="C440" s="31" t="str">
        <f aca="false">IFERROR(INDEX(Reference_Lists!$C$23:$C$35,MATCH(PROPER(TRIM(Raw_Data!C454)),Reference_Lists!$B$23:$B$35,0)),"UNMATCHED")</f>
        <v>Suggestion Box</v>
      </c>
      <c r="D440" s="31" t="str">
        <f aca="false">IFERROR(INDEX(Reference_Lists!$C$36:$C$50,MATCH(PROPER(TRIM(Raw_Data!D454)),Reference_Lists!$B$36:$B$50,0)),"UNMATCHED")</f>
        <v>Deir al-Balah</v>
      </c>
      <c r="E440" s="31" t="str">
        <f aca="false">IF(Raw_Data!E454="","",Raw_Data!E454)</f>
        <v>Nutrition</v>
      </c>
      <c r="F440" s="31" t="str">
        <f aca="false">IF(Raw_Data!F454="","",Raw_Data!F454)</f>
        <v>Complaint</v>
      </c>
      <c r="G440" s="32" t="str">
        <f aca="false">IF(Raw_Data!G454="","",Raw_Data!G454)</f>
        <v>Non-Sensitive</v>
      </c>
      <c r="H440" s="32" t="str">
        <f aca="false">IFERROR(INDEX(Reference_Lists!$C$51:$C$57,MATCH(PROPER(TRIM(Raw_Data!H454)),Reference_Lists!$B$51:$B$57,0)),"UNMATCHED")</f>
        <v>Female</v>
      </c>
      <c r="I440" s="32" t="str">
        <f aca="false">IF(Raw_Data!I454="","",Raw_Data!I454)</f>
        <v>18-29</v>
      </c>
      <c r="J440" s="32" t="str">
        <f aca="false">IFERROR(INDEX(Reference_Lists!$C$58:$C$65,MATCH(PROPER(TRIM(Raw_Data!J454)),Reference_Lists!$B$58:$B$65,0)),"UNMATCHED")</f>
        <v>Closed</v>
      </c>
      <c r="K440" s="30" t="n">
        <f aca="false">IF(Raw_Data!K454="","",IF(ISTEXT(Raw_Data!K454),IFERROR(DATE(VALUE(RIGHT(TRIM(Raw_Data!K454),4)),VALUE(MID(TRIM(Raw_Data!K454),4,2)),VALUE(LEFT(TRIM(Raw_Data!K454),2))),"CHECK"),Raw_Data!K454))</f>
        <v>46228</v>
      </c>
      <c r="L440" s="33" t="str">
        <f aca="false">IF(Raw_Data!L454="","",Raw_Data!L454)</f>
        <v>Supplement was received but the guidance sheet was in English only.</v>
      </c>
      <c r="M440" s="34" t="n">
        <f aca="false">IF(OR(B440="",K440=""),"",IFERROR(K440-B440,"CHECK"))</f>
        <v>1</v>
      </c>
      <c r="N440" s="34" t="n">
        <f aca="false">IFERROR(INDEX(Reference_Lists!$H$13:$H$14,MATCH(G440,Reference_Lists!$G$13:$G$14,0)),"UNMATCHED")</f>
        <v>15</v>
      </c>
      <c r="O440" s="35" t="b">
        <f aca="false">IF(AND(J440="Closed",ISNUMBER(M440),ISNUMBER(N440),M440&gt;=0),M440&lt;=N440,"NOT ASSESSED")</f>
        <v>1</v>
      </c>
      <c r="P440" s="36" t="str">
        <f aca="false">Raw_Data!A454</f>
        <v>CFM-2026-0373</v>
      </c>
      <c r="Q440" s="37" t="str">
        <f aca="false">IFERROR(IF(OR($A440="",$P440=""),"MISSING ID",IF(EXACT($A440,$P440),"ALIGNED","MISMATCH")),"CHECK")</f>
        <v>ALIGNED</v>
      </c>
    </row>
    <row r="441" customFormat="false" ht="19.5" hidden="false" customHeight="true" outlineLevel="0" collapsed="false">
      <c r="A441" s="29" t="s">
        <v>568</v>
      </c>
      <c r="B441" s="30" t="n">
        <f aca="false">IF(Raw_Data!B455="","",IF(ISTEXT(Raw_Data!B455),IFERROR(DATE(VALUE(RIGHT(TRIM(Raw_Data!B455),4)),VALUE(MID(TRIM(Raw_Data!B455),4,2)),VALUE(LEFT(TRIM(Raw_Data!B455),2))),"CHECK"),Raw_Data!B455))</f>
        <v>46133</v>
      </c>
      <c r="C441" s="31" t="str">
        <f aca="false">IFERROR(INDEX(Reference_Lists!$C$23:$C$35,MATCH(PROPER(TRIM(Raw_Data!C455)),Reference_Lists!$B$23:$B$35,0)),"UNMATCHED")</f>
        <v>In-Person at Distribution</v>
      </c>
      <c r="D441" s="31" t="str">
        <f aca="false">IFERROR(INDEX(Reference_Lists!$C$36:$C$50,MATCH(PROPER(TRIM(Raw_Data!D455)),Reference_Lists!$B$36:$B$50,0)),"UNMATCHED")</f>
        <v>Deir al-Balah</v>
      </c>
      <c r="E441" s="31" t="str">
        <f aca="false">IF(Raw_Data!E455="","",Raw_Data!E455)</f>
        <v>Health</v>
      </c>
      <c r="F441" s="31" t="str">
        <f aca="false">IF(Raw_Data!F455="","",Raw_Data!F455)</f>
        <v>Complaint</v>
      </c>
      <c r="G441" s="32" t="str">
        <f aca="false">IF(Raw_Data!G455="","",Raw_Data!G455)</f>
        <v>Non-Sensitive</v>
      </c>
      <c r="H441" s="32" t="str">
        <f aca="false">IFERROR(INDEX(Reference_Lists!$C$51:$C$57,MATCH(PROPER(TRIM(Raw_Data!H455)),Reference_Lists!$B$51:$B$57,0)),"UNMATCHED")</f>
        <v>Female</v>
      </c>
      <c r="I441" s="32" t="str">
        <f aca="false">IF(Raw_Data!I455="","",Raw_Data!I455)</f>
        <v/>
      </c>
      <c r="J441" s="32" t="str">
        <f aca="false">IFERROR(INDEX(Reference_Lists!$C$58:$C$65,MATCH(PROPER(TRIM(Raw_Data!J455)),Reference_Lists!$B$58:$B$65,0)),"UNMATCHED")</f>
        <v>Closed</v>
      </c>
      <c r="K441" s="30" t="n">
        <f aca="false">IF(Raw_Data!K455="","",IF(ISTEXT(Raw_Data!K455),IFERROR(DATE(VALUE(RIGHT(TRIM(Raw_Data!K455),4)),VALUE(MID(TRIM(Raw_Data!K455),4,2)),VALUE(LEFT(TRIM(Raw_Data!K455),2))),"CHECK"),Raw_Data!K455))</f>
        <v>46134</v>
      </c>
      <c r="L441" s="33" t="str">
        <f aca="false">IF(Raw_Data!L455="","",Raw_Data!L455)</f>
        <v>Clinic opening hours are not clear to the community.</v>
      </c>
      <c r="M441" s="34" t="n">
        <f aca="false">IF(OR(B441="",K441=""),"",IFERROR(K441-B441,"CHECK"))</f>
        <v>1</v>
      </c>
      <c r="N441" s="34" t="n">
        <f aca="false">IFERROR(INDEX(Reference_Lists!$H$13:$H$14,MATCH(G441,Reference_Lists!$G$13:$G$14,0)),"UNMATCHED")</f>
        <v>15</v>
      </c>
      <c r="O441" s="35" t="b">
        <f aca="false">IF(AND(J441="Closed",ISNUMBER(M441),ISNUMBER(N441),M441&gt;=0),M441&lt;=N441,"NOT ASSESSED")</f>
        <v>1</v>
      </c>
      <c r="P441" s="36" t="str">
        <f aca="false">Raw_Data!A455</f>
        <v>CFM-2026-0494</v>
      </c>
      <c r="Q441" s="37" t="str">
        <f aca="false">IFERROR(IF(OR($A441="",$P441=""),"MISSING ID",IF(EXACT($A441,$P441),"ALIGNED","MISMATCH")),"CHECK")</f>
        <v>ALIGNED</v>
      </c>
    </row>
    <row r="442" customFormat="false" ht="19.5" hidden="false" customHeight="true" outlineLevel="0" collapsed="false">
      <c r="A442" s="29" t="s">
        <v>569</v>
      </c>
      <c r="B442" s="30" t="n">
        <f aca="false">IF(Raw_Data!B456="","",IF(ISTEXT(Raw_Data!B456),IFERROR(DATE(VALUE(RIGHT(TRIM(Raw_Data!B456),4)),VALUE(MID(TRIM(Raw_Data!B456),4,2)),VALUE(LEFT(TRIM(Raw_Data!B456),2))),"CHECK"),Raw_Data!B456))</f>
        <v>46199</v>
      </c>
      <c r="C442" s="31" t="str">
        <f aca="false">IFERROR(INDEX(Reference_Lists!$C$23:$C$35,MATCH(PROPER(TRIM(Raw_Data!C456)),Reference_Lists!$B$23:$B$35,0)),"UNMATCHED")</f>
        <v>Suggestion Box</v>
      </c>
      <c r="D442" s="31" t="str">
        <f aca="false">IFERROR(INDEX(Reference_Lists!$C$36:$C$50,MATCH(PROPER(TRIM(Raw_Data!D456)),Reference_Lists!$B$36:$B$50,0)),"UNMATCHED")</f>
        <v>Jabalia</v>
      </c>
      <c r="E442" s="31" t="str">
        <f aca="false">IF(Raw_Data!E456="","",Raw_Data!E456)</f>
        <v>WASH</v>
      </c>
      <c r="F442" s="31" t="str">
        <f aca="false">IF(Raw_Data!F456="","",Raw_Data!F456)</f>
        <v>Complaint</v>
      </c>
      <c r="G442" s="32" t="str">
        <f aca="false">IF(Raw_Data!G456="","",Raw_Data!G456)</f>
        <v>Non-Sensitive</v>
      </c>
      <c r="H442" s="32" t="str">
        <f aca="false">IFERROR(INDEX(Reference_Lists!$C$51:$C$57,MATCH(PROPER(TRIM(Raw_Data!H456)),Reference_Lists!$B$51:$B$57,0)),"UNMATCHED")</f>
        <v>Female</v>
      </c>
      <c r="I442" s="32" t="str">
        <f aca="false">IF(Raw_Data!I456="","",Raw_Data!I456)</f>
        <v>60+</v>
      </c>
      <c r="J442" s="32" t="str">
        <f aca="false">IFERROR(INDEX(Reference_Lists!$C$58:$C$65,MATCH(PROPER(TRIM(Raw_Data!J456)),Reference_Lists!$B$58:$B$65,0)),"UNMATCHED")</f>
        <v>Closed</v>
      </c>
      <c r="K442" s="30" t="n">
        <f aca="false">IF(Raw_Data!K456="","",IF(ISTEXT(Raw_Data!K456),IFERROR(DATE(VALUE(RIGHT(TRIM(Raw_Data!K456),4)),VALUE(MID(TRIM(Raw_Data!K456),4,2)),VALUE(LEFT(TRIM(Raw_Data!K456),2))),"CHECK"),Raw_Data!K456))</f>
        <v>46223</v>
      </c>
      <c r="L442" s="33" t="str">
        <f aca="false">IF(Raw_Data!L456="","",Raw_Data!L456)</f>
        <v>Requesting additional jerrycans for a shared shelter of four families.</v>
      </c>
      <c r="M442" s="34" t="n">
        <f aca="false">IF(OR(B442="",K442=""),"",IFERROR(K442-B442,"CHECK"))</f>
        <v>24</v>
      </c>
      <c r="N442" s="34" t="n">
        <f aca="false">IFERROR(INDEX(Reference_Lists!$H$13:$H$14,MATCH(G442,Reference_Lists!$G$13:$G$14,0)),"UNMATCHED")</f>
        <v>15</v>
      </c>
      <c r="O442" s="35" t="b">
        <f aca="false">IF(AND(J442="Closed",ISNUMBER(M442),ISNUMBER(N442),M442&gt;=0),M442&lt;=N442,"NOT ASSESSED")</f>
        <v>0</v>
      </c>
      <c r="P442" s="36" t="str">
        <f aca="false">Raw_Data!A456</f>
        <v>CFM-2026-0492</v>
      </c>
      <c r="Q442" s="37" t="str">
        <f aca="false">IFERROR(IF(OR($A442="",$P442=""),"MISSING ID",IF(EXACT($A442,$P442),"ALIGNED","MISMATCH")),"CHECK")</f>
        <v>ALIGNED</v>
      </c>
    </row>
    <row r="443" customFormat="false" ht="19.5" hidden="false" customHeight="true" outlineLevel="0" collapsed="false">
      <c r="A443" s="29" t="s">
        <v>570</v>
      </c>
      <c r="B443" s="30" t="n">
        <f aca="false">IF(Raw_Data!B457="","",IF(ISTEXT(Raw_Data!B457),IFERROR(DATE(VALUE(RIGHT(TRIM(Raw_Data!B457),4)),VALUE(MID(TRIM(Raw_Data!B457),4,2)),VALUE(LEFT(TRIM(Raw_Data!B457),2))),"CHECK"),Raw_Data!B457))</f>
        <v>46220</v>
      </c>
      <c r="C443" s="31" t="str">
        <f aca="false">IFERROR(INDEX(Reference_Lists!$C$23:$C$35,MATCH(PROPER(TRIM(Raw_Data!C457)),Reference_Lists!$B$23:$B$35,0)),"UNMATCHED")</f>
        <v>Phone Hotline</v>
      </c>
      <c r="D443" s="31" t="str">
        <f aca="false">IFERROR(INDEX(Reference_Lists!$C$36:$C$50,MATCH(PROPER(TRIM(Raw_Data!D457)),Reference_Lists!$B$36:$B$50,0)),"UNMATCHED")</f>
        <v>Jabalia</v>
      </c>
      <c r="E443" s="31" t="str">
        <f aca="false">IF(Raw_Data!E457="","",Raw_Data!E457)</f>
        <v>Nutrition</v>
      </c>
      <c r="F443" s="31" t="str">
        <f aca="false">IF(Raw_Data!F457="","",Raw_Data!F457)</f>
        <v>Complaint</v>
      </c>
      <c r="G443" s="32" t="str">
        <f aca="false">IF(Raw_Data!G457="","",Raw_Data!G457)</f>
        <v>Non-Sensitive</v>
      </c>
      <c r="H443" s="32" t="str">
        <f aca="false">IFERROR(INDEX(Reference_Lists!$C$51:$C$57,MATCH(PROPER(TRIM(Raw_Data!H457)),Reference_Lists!$B$51:$B$57,0)),"UNMATCHED")</f>
        <v>Female</v>
      </c>
      <c r="I443" s="32" t="str">
        <f aca="false">IF(Raw_Data!I457="","",Raw_Data!I457)</f>
        <v>18-29</v>
      </c>
      <c r="J443" s="32" t="str">
        <f aca="false">IFERROR(INDEX(Reference_Lists!$C$58:$C$65,MATCH(PROPER(TRIM(Raw_Data!J457)),Reference_Lists!$B$58:$B$65,0)),"UNMATCHED")</f>
        <v>Closed</v>
      </c>
      <c r="K443" s="30" t="n">
        <f aca="false">IF(Raw_Data!K457="","",IF(ISTEXT(Raw_Data!K457),IFERROR(DATE(VALUE(RIGHT(TRIM(Raw_Data!K457),4)),VALUE(MID(TRIM(Raw_Data!K457),4,2)),VALUE(LEFT(TRIM(Raw_Data!K457),2))),"CHECK"),Raw_Data!K457))</f>
        <v>46245</v>
      </c>
      <c r="L443" s="33" t="str">
        <f aca="false">IF(Raw_Data!L457="","",Raw_Data!L457)</f>
        <v>Asking whether children above five are included in the screening.</v>
      </c>
      <c r="M443" s="34" t="n">
        <f aca="false">IF(OR(B443="",K443=""),"",IFERROR(K443-B443,"CHECK"))</f>
        <v>25</v>
      </c>
      <c r="N443" s="34" t="n">
        <f aca="false">IFERROR(INDEX(Reference_Lists!$H$13:$H$14,MATCH(G443,Reference_Lists!$G$13:$G$14,0)),"UNMATCHED")</f>
        <v>15</v>
      </c>
      <c r="O443" s="35" t="b">
        <f aca="false">IF(AND(J443="Closed",ISNUMBER(M443),ISNUMBER(N443),M443&gt;=0),M443&lt;=N443,"NOT ASSESSED")</f>
        <v>0</v>
      </c>
      <c r="P443" s="36" t="str">
        <f aca="false">Raw_Data!A457</f>
        <v>CFM-2026-0212</v>
      </c>
      <c r="Q443" s="37" t="str">
        <f aca="false">IFERROR(IF(OR($A443="",$P443=""),"MISSING ID",IF(EXACT($A443,$P443),"ALIGNED","MISMATCH")),"CHECK")</f>
        <v>ALIGNED</v>
      </c>
    </row>
    <row r="444" customFormat="false" ht="19.5" hidden="false" customHeight="true" outlineLevel="0" collapsed="false">
      <c r="A444" s="29" t="s">
        <v>571</v>
      </c>
      <c r="B444" s="30" t="n">
        <f aca="false">IF(Raw_Data!B458="","",IF(ISTEXT(Raw_Data!B458),IFERROR(DATE(VALUE(RIGHT(TRIM(Raw_Data!B458),4)),VALUE(MID(TRIM(Raw_Data!B458),4,2)),VALUE(LEFT(TRIM(Raw_Data!B458),2))),"CHECK"),Raw_Data!B458))</f>
        <v>46137</v>
      </c>
      <c r="C444" s="31" t="str">
        <f aca="false">IFERROR(INDEX(Reference_Lists!$C$23:$C$35,MATCH(PROPER(TRIM(Raw_Data!C458)),Reference_Lists!$B$23:$B$35,0)),"UNMATCHED")</f>
        <v>Suggestion Box</v>
      </c>
      <c r="D444" s="31" t="str">
        <f aca="false">IFERROR(INDEX(Reference_Lists!$C$36:$C$50,MATCH(PROPER(TRIM(Raw_Data!D458)),Reference_Lists!$B$36:$B$50,0)),"UNMATCHED")</f>
        <v>Deir al-Balah</v>
      </c>
      <c r="E444" s="31" t="str">
        <f aca="false">IF(Raw_Data!E458="","",Raw_Data!E458)</f>
        <v>Food Security</v>
      </c>
      <c r="F444" s="31" t="str">
        <f aca="false">IF(Raw_Data!F458="","",Raw_Data!F458)</f>
        <v>Suggestion</v>
      </c>
      <c r="G444" s="32" t="str">
        <f aca="false">IF(Raw_Data!G458="","",Raw_Data!G458)</f>
        <v>Non-Sensitive</v>
      </c>
      <c r="H444" s="32" t="str">
        <f aca="false">IFERROR(INDEX(Reference_Lists!$C$51:$C$57,MATCH(PROPER(TRIM(Raw_Data!H458)),Reference_Lists!$B$51:$B$57,0)),"UNMATCHED")</f>
        <v>Female</v>
      </c>
      <c r="I444" s="32" t="str">
        <f aca="false">IF(Raw_Data!I458="","",Raw_Data!I458)</f>
        <v>60+</v>
      </c>
      <c r="J444" s="32" t="str">
        <f aca="false">IFERROR(INDEX(Reference_Lists!$C$58:$C$65,MATCH(PROPER(TRIM(Raw_Data!J458)),Reference_Lists!$B$58:$B$65,0)),"UNMATCHED")</f>
        <v>Closed</v>
      </c>
      <c r="K444" s="30" t="n">
        <f aca="false">IF(Raw_Data!K458="","",IF(ISTEXT(Raw_Data!K458),IFERROR(DATE(VALUE(RIGHT(TRIM(Raw_Data!K458),4)),VALUE(MID(TRIM(Raw_Data!K458),4,2)),VALUE(LEFT(TRIM(Raw_Data!K458),2))),"CHECK"),Raw_Data!K458))</f>
        <v>46149</v>
      </c>
      <c r="L444" s="33" t="str">
        <f aca="false">IF(Raw_Data!L458="","",Raw_Data!L458)</f>
        <v>Asking how the beneficiary list for the next round is prepared.</v>
      </c>
      <c r="M444" s="34" t="n">
        <f aca="false">IF(OR(B444="",K444=""),"",IFERROR(K444-B444,"CHECK"))</f>
        <v>12</v>
      </c>
      <c r="N444" s="34" t="n">
        <f aca="false">IFERROR(INDEX(Reference_Lists!$H$13:$H$14,MATCH(G444,Reference_Lists!$G$13:$G$14,0)),"UNMATCHED")</f>
        <v>15</v>
      </c>
      <c r="O444" s="35" t="b">
        <f aca="false">IF(AND(J444="Closed",ISNUMBER(M444),ISNUMBER(N444),M444&gt;=0),M444&lt;=N444,"NOT ASSESSED")</f>
        <v>1</v>
      </c>
      <c r="P444" s="36" t="str">
        <f aca="false">Raw_Data!A458</f>
        <v>CFM-2026-0065</v>
      </c>
      <c r="Q444" s="37" t="str">
        <f aca="false">IFERROR(IF(OR($A444="",$P444=""),"MISSING ID",IF(EXACT($A444,$P444),"ALIGNED","MISMATCH")),"CHECK")</f>
        <v>ALIGNED</v>
      </c>
    </row>
    <row r="445" customFormat="false" ht="19.5" hidden="false" customHeight="true" outlineLevel="0" collapsed="false">
      <c r="A445" s="29" t="s">
        <v>572</v>
      </c>
      <c r="B445" s="30" t="n">
        <f aca="false">IF(Raw_Data!B459="","",IF(ISTEXT(Raw_Data!B459),IFERROR(DATE(VALUE(RIGHT(TRIM(Raw_Data!B459),4)),VALUE(MID(TRIM(Raw_Data!B459),4,2)),VALUE(LEFT(TRIM(Raw_Data!B459),2))),"CHECK"),Raw_Data!B459))</f>
        <v>46096</v>
      </c>
      <c r="C445" s="31" t="str">
        <f aca="false">IFERROR(INDEX(Reference_Lists!$C$23:$C$35,MATCH(PROPER(TRIM(Raw_Data!C459)),Reference_Lists!$B$23:$B$35,0)),"UNMATCHED")</f>
        <v>Phone Hotline</v>
      </c>
      <c r="D445" s="31" t="str">
        <f aca="false">IFERROR(INDEX(Reference_Lists!$C$36:$C$50,MATCH(PROPER(TRIM(Raw_Data!D459)),Reference_Lists!$B$36:$B$50,0)),"UNMATCHED")</f>
        <v>Jabalia</v>
      </c>
      <c r="E445" s="31" t="str">
        <f aca="false">IF(Raw_Data!E459="","",Raw_Data!E459)</f>
        <v>WASH</v>
      </c>
      <c r="F445" s="31" t="str">
        <f aca="false">IF(Raw_Data!F459="","",Raw_Data!F459)</f>
        <v>Complaint</v>
      </c>
      <c r="G445" s="32" t="str">
        <f aca="false">IF(Raw_Data!G459="","",Raw_Data!G459)</f>
        <v>Non-Sensitive</v>
      </c>
      <c r="H445" s="32" t="str">
        <f aca="false">IFERROR(INDEX(Reference_Lists!$C$51:$C$57,MATCH(PROPER(TRIM(Raw_Data!H459)),Reference_Lists!$B$51:$B$57,0)),"UNMATCHED")</f>
        <v>Prefer not to say</v>
      </c>
      <c r="I445" s="32" t="str">
        <f aca="false">IF(Raw_Data!I459="","",Raw_Data!I459)</f>
        <v>45-59</v>
      </c>
      <c r="J445" s="32" t="str">
        <f aca="false">IFERROR(INDEX(Reference_Lists!$C$58:$C$65,MATCH(PROPER(TRIM(Raw_Data!J459)),Reference_Lists!$B$58:$B$65,0)),"UNMATCHED")</f>
        <v>Open</v>
      </c>
      <c r="K445" s="30" t="str">
        <f aca="false">IF(Raw_Data!K459="","",IF(ISTEXT(Raw_Data!K459),IFERROR(DATE(VALUE(RIGHT(TRIM(Raw_Data!K459),4)),VALUE(MID(TRIM(Raw_Data!K459),4,2)),VALUE(LEFT(TRIM(Raw_Data!K459),2))),"CHECK"),Raw_Data!K459))</f>
        <v/>
      </c>
      <c r="L445" s="33" t="str">
        <f aca="false">IF(Raw_Data!L459="","",Raw_Data!L459)</f>
        <v>Water truck did not arrive at the agreed time for three consecutive days.</v>
      </c>
      <c r="M445" s="34" t="str">
        <f aca="false">IF(OR(B445="",K445=""),"",IFERROR(K445-B445,"CHECK"))</f>
        <v/>
      </c>
      <c r="N445" s="34" t="n">
        <f aca="false">IFERROR(INDEX(Reference_Lists!$H$13:$H$14,MATCH(G445,Reference_Lists!$G$13:$G$14,0)),"UNMATCHED")</f>
        <v>15</v>
      </c>
      <c r="O445" s="32" t="str">
        <f aca="false">IF(AND(J445="Closed",ISNUMBER(M445),ISNUMBER(N445),M445&gt;=0),M445&lt;=N445,"NOT ASSESSED")</f>
        <v>NOT ASSESSED</v>
      </c>
      <c r="P445" s="36" t="str">
        <f aca="false">Raw_Data!A459</f>
        <v>CFM-2026-0273</v>
      </c>
      <c r="Q445" s="37" t="str">
        <f aca="false">IFERROR(IF(OR($A445="",$P445=""),"MISSING ID",IF(EXACT($A445,$P445),"ALIGNED","MISMATCH")),"CHECK")</f>
        <v>ALIGNED</v>
      </c>
    </row>
    <row r="446" customFormat="false" ht="19.5" hidden="false" customHeight="true" outlineLevel="0" collapsed="false">
      <c r="A446" s="29" t="s">
        <v>573</v>
      </c>
      <c r="B446" s="30" t="n">
        <f aca="false">IF(Raw_Data!B460="","",IF(ISTEXT(Raw_Data!B460),IFERROR(DATE(VALUE(RIGHT(TRIM(Raw_Data!B460),4)),VALUE(MID(TRIM(Raw_Data!B460),4,2)),VALUE(LEFT(TRIM(Raw_Data!B460),2))),"CHECK"),Raw_Data!B460))</f>
        <v>46121</v>
      </c>
      <c r="C446" s="31" t="str">
        <f aca="false">IFERROR(INDEX(Reference_Lists!$C$23:$C$35,MATCH(PROPER(TRIM(Raw_Data!C460)),Reference_Lists!$B$23:$B$35,0)),"UNMATCHED")</f>
        <v>Help Desk</v>
      </c>
      <c r="D446" s="31" t="str">
        <f aca="false">IFERROR(INDEX(Reference_Lists!$C$36:$C$50,MATCH(PROPER(TRIM(Raw_Data!D460)),Reference_Lists!$B$36:$B$50,0)),"UNMATCHED")</f>
        <v>Deir al-Balah</v>
      </c>
      <c r="E446" s="31" t="str">
        <f aca="false">IF(Raw_Data!E460="","",Raw_Data!E460)</f>
        <v>Food Security</v>
      </c>
      <c r="F446" s="31" t="str">
        <f aca="false">IF(Raw_Data!F460="","",Raw_Data!F460)</f>
        <v>Complaint</v>
      </c>
      <c r="G446" s="32" t="str">
        <f aca="false">IF(Raw_Data!G460="","",Raw_Data!G460)</f>
        <v>Non-Sensitive</v>
      </c>
      <c r="H446" s="32" t="str">
        <f aca="false">IFERROR(INDEX(Reference_Lists!$C$51:$C$57,MATCH(PROPER(TRIM(Raw_Data!H460)),Reference_Lists!$B$51:$B$57,0)),"UNMATCHED")</f>
        <v>Male</v>
      </c>
      <c r="I446" s="32" t="str">
        <f aca="false">IF(Raw_Data!I460="","",Raw_Data!I460)</f>
        <v>30-44</v>
      </c>
      <c r="J446" s="32" t="str">
        <f aca="false">IFERROR(INDEX(Reference_Lists!$C$58:$C$65,MATCH(PROPER(TRIM(Raw_Data!J460)),Reference_Lists!$B$58:$B$65,0)),"UNMATCHED")</f>
        <v>Closed</v>
      </c>
      <c r="K446" s="30" t="n">
        <f aca="false">IF(Raw_Data!K460="","",IF(ISTEXT(Raw_Data!K460),IFERROR(DATE(VALUE(RIGHT(TRIM(Raw_Data!K460),4)),VALUE(MID(TRIM(Raw_Data!K460),4,2)),VALUE(LEFT(TRIM(Raw_Data!K460),2))),"CHECK"),Raw_Data!K460))</f>
        <v>46125</v>
      </c>
      <c r="L446" s="33" t="str">
        <f aca="false">IF(Raw_Data!L460="","",Raw_Data!L460)</f>
        <v>Thanking the team for organising the last distribution well.</v>
      </c>
      <c r="M446" s="34" t="n">
        <f aca="false">IF(OR(B446="",K446=""),"",IFERROR(K446-B446,"CHECK"))</f>
        <v>4</v>
      </c>
      <c r="N446" s="34" t="n">
        <f aca="false">IFERROR(INDEX(Reference_Lists!$H$13:$H$14,MATCH(G446,Reference_Lists!$G$13:$G$14,0)),"UNMATCHED")</f>
        <v>15</v>
      </c>
      <c r="O446" s="35" t="b">
        <f aca="false">IF(AND(J446="Closed",ISNUMBER(M446),ISNUMBER(N446),M446&gt;=0),M446&lt;=N446,"NOT ASSESSED")</f>
        <v>1</v>
      </c>
      <c r="P446" s="36" t="str">
        <f aca="false">Raw_Data!A460</f>
        <v>CFM-2026-0437</v>
      </c>
      <c r="Q446" s="37" t="str">
        <f aca="false">IFERROR(IF(OR($A446="",$P446=""),"MISSING ID",IF(EXACT($A446,$P446),"ALIGNED","MISMATCH")),"CHECK")</f>
        <v>ALIGNED</v>
      </c>
    </row>
    <row r="447" customFormat="false" ht="19.5" hidden="false" customHeight="true" outlineLevel="0" collapsed="false">
      <c r="A447" s="29" t="s">
        <v>574</v>
      </c>
      <c r="B447" s="30" t="n">
        <f aca="false">IF(Raw_Data!B461="","",IF(ISTEXT(Raw_Data!B461),IFERROR(DATE(VALUE(RIGHT(TRIM(Raw_Data!B461),4)),VALUE(MID(TRIM(Raw_Data!B461),4,2)),VALUE(LEFT(TRIM(Raw_Data!B461),2))),"CHECK"),Raw_Data!B461))</f>
        <v>46178</v>
      </c>
      <c r="C447" s="31" t="str">
        <f aca="false">IFERROR(INDEX(Reference_Lists!$C$23:$C$35,MATCH(PROPER(TRIM(Raw_Data!C461)),Reference_Lists!$B$23:$B$35,0)),"UNMATCHED")</f>
        <v>Community Focal Point</v>
      </c>
      <c r="D447" s="31" t="str">
        <f aca="false">IFERROR(INDEX(Reference_Lists!$C$36:$C$50,MATCH(PROPER(TRIM(Raw_Data!D461)),Reference_Lists!$B$36:$B$50,0)),"UNMATCHED")</f>
        <v>Khan Yunis</v>
      </c>
      <c r="E447" s="31" t="str">
        <f aca="false">IF(Raw_Data!E461="","",Raw_Data!E461)</f>
        <v>WASH</v>
      </c>
      <c r="F447" s="31" t="str">
        <f aca="false">IF(Raw_Data!F461="","",Raw_Data!F461)</f>
        <v>Complaint</v>
      </c>
      <c r="G447" s="32" t="str">
        <f aca="false">IF(Raw_Data!G461="","",Raw_Data!G461)</f>
        <v>Non-Sensitive</v>
      </c>
      <c r="H447" s="32" t="str">
        <f aca="false">IFERROR(INDEX(Reference_Lists!$C$51:$C$57,MATCH(PROPER(TRIM(Raw_Data!H461)),Reference_Lists!$B$51:$B$57,0)),"UNMATCHED")</f>
        <v>Female</v>
      </c>
      <c r="I447" s="32" t="str">
        <f aca="false">IF(Raw_Data!I461="","",Raw_Data!I461)</f>
        <v>45-59</v>
      </c>
      <c r="J447" s="32" t="str">
        <f aca="false">IFERROR(INDEX(Reference_Lists!$C$58:$C$65,MATCH(PROPER(TRIM(Raw_Data!J461)),Reference_Lists!$B$58:$B$65,0)),"UNMATCHED")</f>
        <v>Closed</v>
      </c>
      <c r="K447" s="30" t="str">
        <f aca="false">IF(Raw_Data!K461="","",IF(ISTEXT(Raw_Data!K461),IFERROR(DATE(VALUE(RIGHT(TRIM(Raw_Data!K461),4)),VALUE(MID(TRIM(Raw_Data!K461),4,2)),VALUE(LEFT(TRIM(Raw_Data!K461),2))),"CHECK"),Raw_Data!K461))</f>
        <v/>
      </c>
      <c r="L447" s="33" t="str">
        <f aca="false">IF(Raw_Data!L461="","",Raw_Data!L461)</f>
        <v>The queue at the water point is not organised and older people cannot wait.</v>
      </c>
      <c r="M447" s="34" t="str">
        <f aca="false">IF(OR(B447="",K447=""),"",IFERROR(K447-B447,"CHECK"))</f>
        <v/>
      </c>
      <c r="N447" s="34" t="n">
        <f aca="false">IFERROR(INDEX(Reference_Lists!$H$13:$H$14,MATCH(G447,Reference_Lists!$G$13:$G$14,0)),"UNMATCHED")</f>
        <v>15</v>
      </c>
      <c r="O447" s="32" t="str">
        <f aca="false">IF(AND(J447="Closed",ISNUMBER(M447),ISNUMBER(N447),M447&gt;=0),M447&lt;=N447,"NOT ASSESSED")</f>
        <v>NOT ASSESSED</v>
      </c>
      <c r="P447" s="36" t="str">
        <f aca="false">Raw_Data!A461</f>
        <v>CFM-2026-0276</v>
      </c>
      <c r="Q447" s="37" t="str">
        <f aca="false">IFERROR(IF(OR($A447="",$P447=""),"MISSING ID",IF(EXACT($A447,$P447),"ALIGNED","MISMATCH")),"CHECK")</f>
        <v>ALIGNED</v>
      </c>
    </row>
    <row r="448" customFormat="false" ht="19.5" hidden="false" customHeight="true" outlineLevel="0" collapsed="false">
      <c r="A448" s="29" t="s">
        <v>575</v>
      </c>
      <c r="B448" s="30" t="n">
        <f aca="false">IF(Raw_Data!B462="","",IF(ISTEXT(Raw_Data!B462),IFERROR(DATE(VALUE(RIGHT(TRIM(Raw_Data!B462),4)),VALUE(MID(TRIM(Raw_Data!B462),4,2)),VALUE(LEFT(TRIM(Raw_Data!B462),2))),"CHECK"),Raw_Data!B462))</f>
        <v>46205</v>
      </c>
      <c r="C448" s="31" t="str">
        <f aca="false">IFERROR(INDEX(Reference_Lists!$C$23:$C$35,MATCH(PROPER(TRIM(Raw_Data!C462)),Reference_Lists!$B$23:$B$35,0)),"UNMATCHED")</f>
        <v>Phone Hotline</v>
      </c>
      <c r="D448" s="31" t="str">
        <f aca="false">IFERROR(INDEX(Reference_Lists!$C$36:$C$50,MATCH(PROPER(TRIM(Raw_Data!D462)),Reference_Lists!$B$36:$B$50,0)),"UNMATCHED")</f>
        <v>Rafah</v>
      </c>
      <c r="E448" s="31" t="str">
        <f aca="false">IF(Raw_Data!E462="","",Raw_Data!E462)</f>
        <v>Food Security</v>
      </c>
      <c r="F448" s="31" t="str">
        <f aca="false">IF(Raw_Data!F462="","",Raw_Data!F462)</f>
        <v>Sensitive Complaint</v>
      </c>
      <c r="G448" s="32" t="str">
        <f aca="false">IF(Raw_Data!G462="","",Raw_Data!G462)</f>
        <v>Sensitive</v>
      </c>
      <c r="H448" s="32" t="str">
        <f aca="false">IFERROR(INDEX(Reference_Lists!$C$51:$C$57,MATCH(PROPER(TRIM(Raw_Data!H462)),Reference_Lists!$B$51:$B$57,0)),"UNMATCHED")</f>
        <v>Male</v>
      </c>
      <c r="I448" s="32" t="str">
        <f aca="false">IF(Raw_Data!I462="","",Raw_Data!I462)</f>
        <v>18-29</v>
      </c>
      <c r="J448" s="32" t="str">
        <f aca="false">IFERROR(INDEX(Reference_Lists!$C$58:$C$65,MATCH(PROPER(TRIM(Raw_Data!J462)),Reference_Lists!$B$58:$B$65,0)),"UNMATCHED")</f>
        <v>Closed</v>
      </c>
      <c r="K448" s="30" t="n">
        <f aca="false">IF(Raw_Data!K462="","",IF(ISTEXT(Raw_Data!K462),IFERROR(DATE(VALUE(RIGHT(TRIM(Raw_Data!K462),4)),VALUE(MID(TRIM(Raw_Data!K462),4,2)),VALUE(LEFT(TRIM(Raw_Data!K462),2))),"CHECK"),Raw_Data!K462))</f>
        <v>46218</v>
      </c>
      <c r="L448" s="33" t="str">
        <f aca="false">IF(Raw_Data!L462="","",Raw_Data!L462)</f>
        <v>Sensitive case - details recorded separately by the focal point; not stored in this tracker.</v>
      </c>
      <c r="M448" s="34" t="n">
        <f aca="false">IF(OR(B448="",K448=""),"",IFERROR(K448-B448,"CHECK"))</f>
        <v>13</v>
      </c>
      <c r="N448" s="34" t="n">
        <f aca="false">IFERROR(INDEX(Reference_Lists!$H$13:$H$14,MATCH(G448,Reference_Lists!$G$13:$G$14,0)),"UNMATCHED")</f>
        <v>3</v>
      </c>
      <c r="O448" s="35" t="b">
        <f aca="false">IF(AND(J448="Closed",ISNUMBER(M448),ISNUMBER(N448),M448&gt;=0),M448&lt;=N448,"NOT ASSESSED")</f>
        <v>0</v>
      </c>
      <c r="P448" s="36" t="str">
        <f aca="false">Raw_Data!A462</f>
        <v>CFM-2026-0500</v>
      </c>
      <c r="Q448" s="37" t="str">
        <f aca="false">IFERROR(IF(OR($A448="",$P448=""),"MISSING ID",IF(EXACT($A448,$P448),"ALIGNED","MISMATCH")),"CHECK")</f>
        <v>ALIGNED</v>
      </c>
    </row>
    <row r="449" customFormat="false" ht="19.5" hidden="false" customHeight="true" outlineLevel="0" collapsed="false">
      <c r="A449" s="29" t="s">
        <v>576</v>
      </c>
      <c r="B449" s="30" t="n">
        <f aca="false">IF(Raw_Data!B463="","",IF(ISTEXT(Raw_Data!B463),IFERROR(DATE(VALUE(RIGHT(TRIM(Raw_Data!B463),4)),VALUE(MID(TRIM(Raw_Data!B463),4,2)),VALUE(LEFT(TRIM(Raw_Data!B463),2))),"CHECK"),Raw_Data!B463))</f>
        <v>46035</v>
      </c>
      <c r="C449" s="31" t="str">
        <f aca="false">IFERROR(INDEX(Reference_Lists!$C$23:$C$35,MATCH(PROPER(TRIM(Raw_Data!C463)),Reference_Lists!$B$23:$B$35,0)),"UNMATCHED")</f>
        <v>Phone Hotline</v>
      </c>
      <c r="D449" s="31" t="str">
        <f aca="false">IFERROR(INDEX(Reference_Lists!$C$36:$C$50,MATCH(PROPER(TRIM(Raw_Data!D463)),Reference_Lists!$B$36:$B$50,0)),"UNMATCHED")</f>
        <v>Deir al-Balah</v>
      </c>
      <c r="E449" s="31" t="str">
        <f aca="false">IF(Raw_Data!E463="","",Raw_Data!E463)</f>
        <v>Nutrition</v>
      </c>
      <c r="F449" s="31" t="str">
        <f aca="false">IF(Raw_Data!F463="","",Raw_Data!F463)</f>
        <v>Complaint</v>
      </c>
      <c r="G449" s="32" t="str">
        <f aca="false">IF(Raw_Data!G463="","",Raw_Data!G463)</f>
        <v>Non-Sensitive</v>
      </c>
      <c r="H449" s="32" t="str">
        <f aca="false">IFERROR(INDEX(Reference_Lists!$C$51:$C$57,MATCH(PROPER(TRIM(Raw_Data!H463)),Reference_Lists!$B$51:$B$57,0)),"UNMATCHED")</f>
        <v>Male</v>
      </c>
      <c r="I449" s="32" t="str">
        <f aca="false">IF(Raw_Data!I463="","",Raw_Data!I463)</f>
        <v>Under 18</v>
      </c>
      <c r="J449" s="32" t="str">
        <f aca="false">IFERROR(INDEX(Reference_Lists!$C$58:$C$65,MATCH(PROPER(TRIM(Raw_Data!J463)),Reference_Lists!$B$58:$B$65,0)),"UNMATCHED")</f>
        <v>Closed</v>
      </c>
      <c r="K449" s="30" t="n">
        <f aca="false">IF(Raw_Data!K463="","",IF(ISTEXT(Raw_Data!K463),IFERROR(DATE(VALUE(RIGHT(TRIM(Raw_Data!K463),4)),VALUE(MID(TRIM(Raw_Data!K463),4,2)),VALUE(LEFT(TRIM(Raw_Data!K463),2))),"CHECK"),Raw_Data!K463))</f>
        <v>46040</v>
      </c>
      <c r="L449" s="33" t="str">
        <f aca="false">IF(Raw_Data!L463="","",Raw_Data!L463)</f>
        <v>Supplement was received but the guidance sheet was in English only.</v>
      </c>
      <c r="M449" s="34" t="n">
        <f aca="false">IF(OR(B449="",K449=""),"",IFERROR(K449-B449,"CHECK"))</f>
        <v>5</v>
      </c>
      <c r="N449" s="34" t="n">
        <f aca="false">IFERROR(INDEX(Reference_Lists!$H$13:$H$14,MATCH(G449,Reference_Lists!$G$13:$G$14,0)),"UNMATCHED")</f>
        <v>15</v>
      </c>
      <c r="O449" s="35" t="b">
        <f aca="false">IF(AND(J449="Closed",ISNUMBER(M449),ISNUMBER(N449),M449&gt;=0),M449&lt;=N449,"NOT ASSESSED")</f>
        <v>1</v>
      </c>
      <c r="P449" s="36" t="str">
        <f aca="false">Raw_Data!A463</f>
        <v>CFM-2026-0231</v>
      </c>
      <c r="Q449" s="37" t="str">
        <f aca="false">IFERROR(IF(OR($A449="",$P449=""),"MISSING ID",IF(EXACT($A449,$P449),"ALIGNED","MISMATCH")),"CHECK")</f>
        <v>ALIGNED</v>
      </c>
    </row>
    <row r="450" customFormat="false" ht="19.5" hidden="false" customHeight="true" outlineLevel="0" collapsed="false">
      <c r="A450" s="29" t="s">
        <v>577</v>
      </c>
      <c r="B450" s="30" t="n">
        <f aca="false">IF(Raw_Data!B464="","",IF(ISTEXT(Raw_Data!B464),IFERROR(DATE(VALUE(RIGHT(TRIM(Raw_Data!B464),4)),VALUE(MID(TRIM(Raw_Data!B464),4,2)),VALUE(LEFT(TRIM(Raw_Data!B464),2))),"CHECK"),Raw_Data!B464))</f>
        <v>46137</v>
      </c>
      <c r="C450" s="31" t="str">
        <f aca="false">IFERROR(INDEX(Reference_Lists!$C$23:$C$35,MATCH(PROPER(TRIM(Raw_Data!C464)),Reference_Lists!$B$23:$B$35,0)),"UNMATCHED")</f>
        <v>Help Desk</v>
      </c>
      <c r="D450" s="31" t="str">
        <f aca="false">IFERROR(INDEX(Reference_Lists!$C$36:$C$50,MATCH(PROPER(TRIM(Raw_Data!D464)),Reference_Lists!$B$36:$B$50,0)),"UNMATCHED")</f>
        <v>Gaza City</v>
      </c>
      <c r="E450" s="31" t="str">
        <f aca="false">IF(Raw_Data!E464="","",Raw_Data!E464)</f>
        <v>Food Security</v>
      </c>
      <c r="F450" s="31" t="str">
        <f aca="false">IF(Raw_Data!F464="","",Raw_Data!F464)</f>
        <v>Suggestion</v>
      </c>
      <c r="G450" s="32" t="str">
        <f aca="false">IF(Raw_Data!G464="","",Raw_Data!G464)</f>
        <v>Non-Sensitive</v>
      </c>
      <c r="H450" s="32" t="str">
        <f aca="false">IFERROR(INDEX(Reference_Lists!$C$51:$C$57,MATCH(PROPER(TRIM(Raw_Data!H464)),Reference_Lists!$B$51:$B$57,0)),"UNMATCHED")</f>
        <v>Male</v>
      </c>
      <c r="I450" s="32" t="str">
        <f aca="false">IF(Raw_Data!I464="","",Raw_Data!I464)</f>
        <v>45-59</v>
      </c>
      <c r="J450" s="32" t="str">
        <f aca="false">IFERROR(INDEX(Reference_Lists!$C$58:$C$65,MATCH(PROPER(TRIM(Raw_Data!J464)),Reference_Lists!$B$58:$B$65,0)),"UNMATCHED")</f>
        <v>In Progress</v>
      </c>
      <c r="K450" s="30" t="str">
        <f aca="false">IF(Raw_Data!K464="","",IF(ISTEXT(Raw_Data!K464),IFERROR(DATE(VALUE(RIGHT(TRIM(Raw_Data!K464),4)),VALUE(MID(TRIM(Raw_Data!K464),4,2)),VALUE(LEFT(TRIM(Raw_Data!K464),2))),"CHECK"),Raw_Data!K464))</f>
        <v/>
      </c>
      <c r="L450" s="33" t="str">
        <f aca="false">IF(Raw_Data!L464="","",Raw_Data!L464)</f>
        <v>Distribution point is far and transport cost is high for our family.</v>
      </c>
      <c r="M450" s="34" t="str">
        <f aca="false">IF(OR(B450="",K450=""),"",IFERROR(K450-B450,"CHECK"))</f>
        <v/>
      </c>
      <c r="N450" s="34" t="n">
        <f aca="false">IFERROR(INDEX(Reference_Lists!$H$13:$H$14,MATCH(G450,Reference_Lists!$G$13:$G$14,0)),"UNMATCHED")</f>
        <v>15</v>
      </c>
      <c r="O450" s="32" t="str">
        <f aca="false">IF(AND(J450="Closed",ISNUMBER(M450),ISNUMBER(N450),M450&gt;=0),M450&lt;=N450,"NOT ASSESSED")</f>
        <v>NOT ASSESSED</v>
      </c>
      <c r="P450" s="36" t="str">
        <f aca="false">Raw_Data!A464</f>
        <v>CFM-2026-0003</v>
      </c>
      <c r="Q450" s="37" t="str">
        <f aca="false">IFERROR(IF(OR($A450="",$P450=""),"MISSING ID",IF(EXACT($A450,$P450),"ALIGNED","MISMATCH")),"CHECK")</f>
        <v>ALIGNED</v>
      </c>
    </row>
    <row r="451" customFormat="false" ht="19.5" hidden="false" customHeight="true" outlineLevel="0" collapsed="false">
      <c r="A451" s="29" t="s">
        <v>578</v>
      </c>
      <c r="B451" s="30" t="n">
        <f aca="false">IF(Raw_Data!B465="","",IF(ISTEXT(Raw_Data!B465),IFERROR(DATE(VALUE(RIGHT(TRIM(Raw_Data!B465),4)),VALUE(MID(TRIM(Raw_Data!B465),4,2)),VALUE(LEFT(TRIM(Raw_Data!B465),2))),"CHECK"),Raw_Data!B465))</f>
        <v>46221</v>
      </c>
      <c r="C451" s="31" t="str">
        <f aca="false">IFERROR(INDEX(Reference_Lists!$C$23:$C$35,MATCH(PROPER(TRIM(Raw_Data!C465)),Reference_Lists!$B$23:$B$35,0)),"UNMATCHED")</f>
        <v>Phone Hotline</v>
      </c>
      <c r="D451" s="31" t="str">
        <f aca="false">IFERROR(INDEX(Reference_Lists!$C$36:$C$50,MATCH(PROPER(TRIM(Raw_Data!D465)),Reference_Lists!$B$36:$B$50,0)),"UNMATCHED")</f>
        <v>Khan Yunis</v>
      </c>
      <c r="E451" s="31" t="str">
        <f aca="false">IF(Raw_Data!E465="","",Raw_Data!E465)</f>
        <v>Nutrition</v>
      </c>
      <c r="F451" s="31" t="str">
        <f aca="false">IF(Raw_Data!F465="","",Raw_Data!F465)</f>
        <v>Appreciation</v>
      </c>
      <c r="G451" s="32" t="str">
        <f aca="false">IF(Raw_Data!G465="","",Raw_Data!G465)</f>
        <v>Non-Sensitive</v>
      </c>
      <c r="H451" s="32" t="str">
        <f aca="false">IFERROR(INDEX(Reference_Lists!$C$51:$C$57,MATCH(PROPER(TRIM(Raw_Data!H465)),Reference_Lists!$B$51:$B$57,0)),"UNMATCHED")</f>
        <v>Male</v>
      </c>
      <c r="I451" s="32" t="str">
        <f aca="false">IF(Raw_Data!I465="","",Raw_Data!I465)</f>
        <v>30-44</v>
      </c>
      <c r="J451" s="32" t="str">
        <f aca="false">IFERROR(INDEX(Reference_Lists!$C$58:$C$65,MATCH(PROPER(TRIM(Raw_Data!J465)),Reference_Lists!$B$58:$B$65,0)),"UNMATCHED")</f>
        <v>Open</v>
      </c>
      <c r="K451" s="30" t="str">
        <f aca="false">IF(Raw_Data!K465="","",IF(ISTEXT(Raw_Data!K465),IFERROR(DATE(VALUE(RIGHT(TRIM(Raw_Data!K465),4)),VALUE(MID(TRIM(Raw_Data!K465),4,2)),VALUE(LEFT(TRIM(Raw_Data!K465),2))),"CHECK"),Raw_Data!K465))</f>
        <v/>
      </c>
      <c r="L451" s="33" t="str">
        <f aca="false">IF(Raw_Data!L465="","",Raw_Data!L465)</f>
        <v>Supplement was received but the guidance sheet was in English only.</v>
      </c>
      <c r="M451" s="34" t="str">
        <f aca="false">IF(OR(B451="",K451=""),"",IFERROR(K451-B451,"CHECK"))</f>
        <v/>
      </c>
      <c r="N451" s="34" t="n">
        <f aca="false">IFERROR(INDEX(Reference_Lists!$H$13:$H$14,MATCH(G451,Reference_Lists!$G$13:$G$14,0)),"UNMATCHED")</f>
        <v>15</v>
      </c>
      <c r="O451" s="32" t="str">
        <f aca="false">IF(AND(J451="Closed",ISNUMBER(M451),ISNUMBER(N451),M451&gt;=0),M451&lt;=N451,"NOT ASSESSED")</f>
        <v>NOT ASSESSED</v>
      </c>
      <c r="P451" s="36" t="str">
        <f aca="false">Raw_Data!A465</f>
        <v>CFM-2026-0170</v>
      </c>
      <c r="Q451" s="37" t="str">
        <f aca="false">IFERROR(IF(OR($A451="",$P451=""),"MISSING ID",IF(EXACT($A451,$P451),"ALIGNED","MISMATCH")),"CHECK")</f>
        <v>ALIGNED</v>
      </c>
    </row>
    <row r="452" customFormat="false" ht="19.5" hidden="false" customHeight="true" outlineLevel="0" collapsed="false">
      <c r="A452" s="29" t="s">
        <v>579</v>
      </c>
      <c r="B452" s="30" t="n">
        <f aca="false">IF(Raw_Data!B466="","",IF(ISTEXT(Raw_Data!B466),IFERROR(DATE(VALUE(RIGHT(TRIM(Raw_Data!B466),4)),VALUE(MID(TRIM(Raw_Data!B466),4,2)),VALUE(LEFT(TRIM(Raw_Data!B466),2))),"CHECK"),Raw_Data!B466))</f>
        <v>46124</v>
      </c>
      <c r="C452" s="31" t="str">
        <f aca="false">IFERROR(INDEX(Reference_Lists!$C$23:$C$35,MATCH(PROPER(TRIM(Raw_Data!C466)),Reference_Lists!$B$23:$B$35,0)),"UNMATCHED")</f>
        <v>Suggestion Box</v>
      </c>
      <c r="D452" s="31" t="str">
        <f aca="false">IFERROR(INDEX(Reference_Lists!$C$36:$C$50,MATCH(PROPER(TRIM(Raw_Data!D466)),Reference_Lists!$B$36:$B$50,0)),"UNMATCHED")</f>
        <v>Deir al-Balah</v>
      </c>
      <c r="E452" s="31" t="str">
        <f aca="false">IF(Raw_Data!E466="","",Raw_Data!E466)</f>
        <v>Health</v>
      </c>
      <c r="F452" s="31" t="str">
        <f aca="false">IF(Raw_Data!F466="","",Raw_Data!F466)</f>
        <v>Sensitive Complaint</v>
      </c>
      <c r="G452" s="32" t="str">
        <f aca="false">IF(Raw_Data!G466="","",Raw_Data!G466)</f>
        <v>Sensitive</v>
      </c>
      <c r="H452" s="32" t="str">
        <f aca="false">IFERROR(INDEX(Reference_Lists!$C$51:$C$57,MATCH(PROPER(TRIM(Raw_Data!H466)),Reference_Lists!$B$51:$B$57,0)),"UNMATCHED")</f>
        <v>Male</v>
      </c>
      <c r="I452" s="32" t="str">
        <f aca="false">IF(Raw_Data!I466="","",Raw_Data!I466)</f>
        <v>30-44</v>
      </c>
      <c r="J452" s="32" t="str">
        <f aca="false">IFERROR(INDEX(Reference_Lists!$C$58:$C$65,MATCH(PROPER(TRIM(Raw_Data!J466)),Reference_Lists!$B$58:$B$65,0)),"UNMATCHED")</f>
        <v>In Progress</v>
      </c>
      <c r="K452" s="30" t="str">
        <f aca="false">IF(Raw_Data!K466="","",IF(ISTEXT(Raw_Data!K466),IFERROR(DATE(VALUE(RIGHT(TRIM(Raw_Data!K466),4)),VALUE(MID(TRIM(Raw_Data!K466),4,2)),VALUE(LEFT(TRIM(Raw_Data!K466),2))),"CHECK"),Raw_Data!K466))</f>
        <v/>
      </c>
      <c r="L452" s="33" t="str">
        <f aca="false">IF(Raw_Data!L466="","",Raw_Data!L466)</f>
        <v>Sensitive case - details recorded separately by the focal point; not stored in this tracker.</v>
      </c>
      <c r="M452" s="34" t="str">
        <f aca="false">IF(OR(B452="",K452=""),"",IFERROR(K452-B452,"CHECK"))</f>
        <v/>
      </c>
      <c r="N452" s="34" t="n">
        <f aca="false">IFERROR(INDEX(Reference_Lists!$H$13:$H$14,MATCH(G452,Reference_Lists!$G$13:$G$14,0)),"UNMATCHED")</f>
        <v>3</v>
      </c>
      <c r="O452" s="32" t="str">
        <f aca="false">IF(AND(J452="Closed",ISNUMBER(M452),ISNUMBER(N452),M452&gt;=0),M452&lt;=N452,"NOT ASSESSED")</f>
        <v>NOT ASSESSED</v>
      </c>
      <c r="P452" s="36" t="str">
        <f aca="false">Raw_Data!A466</f>
        <v>CFM-2026-0262</v>
      </c>
      <c r="Q452" s="37" t="str">
        <f aca="false">IFERROR(IF(OR($A452="",$P452=""),"MISSING ID",IF(EXACT($A452,$P452),"ALIGNED","MISMATCH")),"CHECK")</f>
        <v>ALIGNED</v>
      </c>
    </row>
    <row r="453" customFormat="false" ht="19.5" hidden="false" customHeight="true" outlineLevel="0" collapsed="false">
      <c r="A453" s="29" t="s">
        <v>580</v>
      </c>
      <c r="B453" s="30" t="n">
        <f aca="false">IF(Raw_Data!B467="","",IF(ISTEXT(Raw_Data!B467),IFERROR(DATE(VALUE(RIGHT(TRIM(Raw_Data!B467),4)),VALUE(MID(TRIM(Raw_Data!B467),4,2)),VALUE(LEFT(TRIM(Raw_Data!B467),2))),"CHECK"),Raw_Data!B467))</f>
        <v>46047</v>
      </c>
      <c r="C453" s="31" t="str">
        <f aca="false">IFERROR(INDEX(Reference_Lists!$C$23:$C$35,MATCH(PROPER(TRIM(Raw_Data!C467)),Reference_Lists!$B$23:$B$35,0)),"UNMATCHED")</f>
        <v>Phone Hotline</v>
      </c>
      <c r="D453" s="31" t="str">
        <f aca="false">IFERROR(INDEX(Reference_Lists!$C$36:$C$50,MATCH(PROPER(TRIM(Raw_Data!D467)),Reference_Lists!$B$36:$B$50,0)),"UNMATCHED")</f>
        <v>Nuseirat</v>
      </c>
      <c r="E453" s="31" t="str">
        <f aca="false">IF(Raw_Data!E467="","",Raw_Data!E467)</f>
        <v>Food Security</v>
      </c>
      <c r="F453" s="31" t="str">
        <f aca="false">IF(Raw_Data!F467="","",Raw_Data!F467)</f>
        <v>Complaint</v>
      </c>
      <c r="G453" s="32" t="str">
        <f aca="false">IF(Raw_Data!G467="","",Raw_Data!G467)</f>
        <v>Non-Sensitive</v>
      </c>
      <c r="H453" s="32" t="str">
        <f aca="false">IFERROR(INDEX(Reference_Lists!$C$51:$C$57,MATCH(PROPER(TRIM(Raw_Data!H467)),Reference_Lists!$B$51:$B$57,0)),"UNMATCHED")</f>
        <v>Female</v>
      </c>
      <c r="I453" s="32" t="str">
        <f aca="false">IF(Raw_Data!I467="","",Raw_Data!I467)</f>
        <v>30-44</v>
      </c>
      <c r="J453" s="32" t="str">
        <f aca="false">IFERROR(INDEX(Reference_Lists!$C$58:$C$65,MATCH(PROPER(TRIM(Raw_Data!J467)),Reference_Lists!$B$58:$B$65,0)),"UNMATCHED")</f>
        <v>Closed</v>
      </c>
      <c r="K453" s="30" t="n">
        <f aca="false">IF(Raw_Data!K467="","",IF(ISTEXT(Raw_Data!K467),IFERROR(DATE(VALUE(RIGHT(TRIM(Raw_Data!K467),4)),VALUE(MID(TRIM(Raw_Data!K467),4,2)),VALUE(LEFT(TRIM(Raw_Data!K467),2))),"CHECK"),Raw_Data!K467))</f>
        <v>46059</v>
      </c>
      <c r="L453" s="33" t="str">
        <f aca="false">IF(Raw_Data!L467="","",Raw_Data!L467)</f>
        <v>Thanking the team for organising the last distribution well.</v>
      </c>
      <c r="M453" s="34" t="n">
        <f aca="false">IF(OR(B453="",K453=""),"",IFERROR(K453-B453,"CHECK"))</f>
        <v>12</v>
      </c>
      <c r="N453" s="34" t="n">
        <f aca="false">IFERROR(INDEX(Reference_Lists!$H$13:$H$14,MATCH(G453,Reference_Lists!$G$13:$G$14,0)),"UNMATCHED")</f>
        <v>15</v>
      </c>
      <c r="O453" s="35" t="b">
        <f aca="false">IF(AND(J453="Closed",ISNUMBER(M453),ISNUMBER(N453),M453&gt;=0),M453&lt;=N453,"NOT ASSESSED")</f>
        <v>1</v>
      </c>
      <c r="P453" s="36" t="str">
        <f aca="false">Raw_Data!A467</f>
        <v>CFM-2026-0012</v>
      </c>
      <c r="Q453" s="37" t="str">
        <f aca="false">IFERROR(IF(OR($A453="",$P453=""),"MISSING ID",IF(EXACT($A453,$P453),"ALIGNED","MISMATCH")),"CHECK")</f>
        <v>ALIGNED</v>
      </c>
    </row>
    <row r="454" customFormat="false" ht="19.5" hidden="false" customHeight="true" outlineLevel="0" collapsed="false">
      <c r="A454" s="29" t="s">
        <v>581</v>
      </c>
      <c r="B454" s="30" t="n">
        <f aca="false">IF(Raw_Data!B468="","",IF(ISTEXT(Raw_Data!B468),IFERROR(DATE(VALUE(RIGHT(TRIM(Raw_Data!B468),4)),VALUE(MID(TRIM(Raw_Data!B468),4,2)),VALUE(LEFT(TRIM(Raw_Data!B468),2))),"CHECK"),Raw_Data!B468))</f>
        <v>46122</v>
      </c>
      <c r="C454" s="31" t="str">
        <f aca="false">IFERROR(INDEX(Reference_Lists!$C$23:$C$35,MATCH(PROPER(TRIM(Raw_Data!C468)),Reference_Lists!$B$23:$B$35,0)),"UNMATCHED")</f>
        <v>Help Desk</v>
      </c>
      <c r="D454" s="31" t="str">
        <f aca="false">IFERROR(INDEX(Reference_Lists!$C$36:$C$50,MATCH(PROPER(TRIM(Raw_Data!D468)),Reference_Lists!$B$36:$B$50,0)),"UNMATCHED")</f>
        <v>Khan Yunis</v>
      </c>
      <c r="E454" s="31" t="str">
        <f aca="false">IF(Raw_Data!E468="","",Raw_Data!E468)</f>
        <v>Food Security</v>
      </c>
      <c r="F454" s="31" t="str">
        <f aca="false">IF(Raw_Data!F468="","",Raw_Data!F468)</f>
        <v>Suggestion</v>
      </c>
      <c r="G454" s="32" t="str">
        <f aca="false">IF(Raw_Data!G468="","",Raw_Data!G468)</f>
        <v>Non-Sensitive</v>
      </c>
      <c r="H454" s="32" t="str">
        <f aca="false">IFERROR(INDEX(Reference_Lists!$C$51:$C$57,MATCH(PROPER(TRIM(Raw_Data!H468)),Reference_Lists!$B$51:$B$57,0)),"UNMATCHED")</f>
        <v>Male</v>
      </c>
      <c r="I454" s="32" t="str">
        <f aca="false">IF(Raw_Data!I468="","",Raw_Data!I468)</f>
        <v>30-44</v>
      </c>
      <c r="J454" s="32" t="str">
        <f aca="false">IFERROR(INDEX(Reference_Lists!$C$58:$C$65,MATCH(PROPER(TRIM(Raw_Data!J468)),Reference_Lists!$B$58:$B$65,0)),"UNMATCHED")</f>
        <v>In Progress</v>
      </c>
      <c r="K454" s="30" t="str">
        <f aca="false">IF(Raw_Data!K468="","",IF(ISTEXT(Raw_Data!K468),IFERROR(DATE(VALUE(RIGHT(TRIM(Raw_Data!K468),4)),VALUE(MID(TRIM(Raw_Data!K468),4,2)),VALUE(LEFT(TRIM(Raw_Data!K468),2))),"CHECK"),Raw_Data!K468))</f>
        <v/>
      </c>
      <c r="L454" s="33" t="str">
        <f aca="false">IF(Raw_Data!L468="","",Raw_Data!L468)</f>
        <v>Food parcel contents did not match the announced list.</v>
      </c>
      <c r="M454" s="34" t="str">
        <f aca="false">IF(OR(B454="",K454=""),"",IFERROR(K454-B454,"CHECK"))</f>
        <v/>
      </c>
      <c r="N454" s="34" t="n">
        <f aca="false">IFERROR(INDEX(Reference_Lists!$H$13:$H$14,MATCH(G454,Reference_Lists!$G$13:$G$14,0)),"UNMATCHED")</f>
        <v>15</v>
      </c>
      <c r="O454" s="32" t="str">
        <f aca="false">IF(AND(J454="Closed",ISNUMBER(M454),ISNUMBER(N454),M454&gt;=0),M454&lt;=N454,"NOT ASSESSED")</f>
        <v>NOT ASSESSED</v>
      </c>
      <c r="P454" s="36" t="str">
        <f aca="false">Raw_Data!A468</f>
        <v>CFM-2026-0066</v>
      </c>
      <c r="Q454" s="37" t="str">
        <f aca="false">IFERROR(IF(OR($A454="",$P454=""),"MISSING ID",IF(EXACT($A454,$P454),"ALIGNED","MISMATCH")),"CHECK")</f>
        <v>ALIGNED</v>
      </c>
    </row>
    <row r="455" customFormat="false" ht="19.5" hidden="false" customHeight="true" outlineLevel="0" collapsed="false">
      <c r="A455" s="29" t="s">
        <v>582</v>
      </c>
      <c r="B455" s="30" t="n">
        <f aca="false">IF(Raw_Data!B469="","",IF(ISTEXT(Raw_Data!B469),IFERROR(DATE(VALUE(RIGHT(TRIM(Raw_Data!B469),4)),VALUE(MID(TRIM(Raw_Data!B469),4,2)),VALUE(LEFT(TRIM(Raw_Data!B469),2))),"CHECK"),Raw_Data!B469))</f>
        <v>46143</v>
      </c>
      <c r="C455" s="31" t="str">
        <f aca="false">IFERROR(INDEX(Reference_Lists!$C$23:$C$35,MATCH(PROPER(TRIM(Raw_Data!C469)),Reference_Lists!$B$23:$B$35,0)),"UNMATCHED")</f>
        <v>Help Desk</v>
      </c>
      <c r="D455" s="31" t="str">
        <f aca="false">IFERROR(INDEX(Reference_Lists!$C$36:$C$50,MATCH(PROPER(TRIM(Raw_Data!D469)),Reference_Lists!$B$36:$B$50,0)),"UNMATCHED")</f>
        <v>Gaza City</v>
      </c>
      <c r="E455" s="31" t="str">
        <f aca="false">IF(Raw_Data!E469="","",Raw_Data!E469)</f>
        <v>Health</v>
      </c>
      <c r="F455" s="31" t="str">
        <f aca="false">IF(Raw_Data!F469="","",Raw_Data!F469)</f>
        <v>Appreciation</v>
      </c>
      <c r="G455" s="32" t="str">
        <f aca="false">IF(Raw_Data!G469="","",Raw_Data!G469)</f>
        <v>Non-Sensitive</v>
      </c>
      <c r="H455" s="32" t="str">
        <f aca="false">IFERROR(INDEX(Reference_Lists!$C$51:$C$57,MATCH(PROPER(TRIM(Raw_Data!H469)),Reference_Lists!$B$51:$B$57,0)),"UNMATCHED")</f>
        <v>Female</v>
      </c>
      <c r="I455" s="32" t="str">
        <f aca="false">IF(Raw_Data!I469="","",Raw_Data!I469)</f>
        <v>60+</v>
      </c>
      <c r="J455" s="32" t="str">
        <f aca="false">IFERROR(INDEX(Reference_Lists!$C$58:$C$65,MATCH(PROPER(TRIM(Raw_Data!J469)),Reference_Lists!$B$58:$B$65,0)),"UNMATCHED")</f>
        <v>Closed</v>
      </c>
      <c r="K455" s="30" t="n">
        <f aca="false">IF(Raw_Data!K469="","",IF(ISTEXT(Raw_Data!K469),IFERROR(DATE(VALUE(RIGHT(TRIM(Raw_Data!K469),4)),VALUE(MID(TRIM(Raw_Data!K469),4,2)),VALUE(LEFT(TRIM(Raw_Data!K469),2))),"CHECK"),Raw_Data!K469))</f>
        <v>46150</v>
      </c>
      <c r="L455" s="33" t="str">
        <f aca="false">IF(Raw_Data!L469="","",Raw_Data!L469)</f>
        <v>Waiting time at the mobile clinic is long during afternoon hours.</v>
      </c>
      <c r="M455" s="34" t="n">
        <f aca="false">IF(OR(B455="",K455=""),"",IFERROR(K455-B455,"CHECK"))</f>
        <v>7</v>
      </c>
      <c r="N455" s="34" t="n">
        <f aca="false">IFERROR(INDEX(Reference_Lists!$H$13:$H$14,MATCH(G455,Reference_Lists!$G$13:$G$14,0)),"UNMATCHED")</f>
        <v>15</v>
      </c>
      <c r="O455" s="35" t="b">
        <f aca="false">IF(AND(J455="Closed",ISNUMBER(M455),ISNUMBER(N455),M455&gt;=0),M455&lt;=N455,"NOT ASSESSED")</f>
        <v>1</v>
      </c>
      <c r="P455" s="36" t="str">
        <f aca="false">Raw_Data!A469</f>
        <v>CFM-2026-0238</v>
      </c>
      <c r="Q455" s="37" t="str">
        <f aca="false">IFERROR(IF(OR($A455="",$P455=""),"MISSING ID",IF(EXACT($A455,$P455),"ALIGNED","MISMATCH")),"CHECK")</f>
        <v>ALIGNED</v>
      </c>
    </row>
    <row r="456" customFormat="false" ht="19.5" hidden="false" customHeight="true" outlineLevel="0" collapsed="false">
      <c r="A456" s="29" t="s">
        <v>583</v>
      </c>
      <c r="B456" s="30" t="n">
        <f aca="false">IF(Raw_Data!B470="","",IF(ISTEXT(Raw_Data!B470),IFERROR(DATE(VALUE(RIGHT(TRIM(Raw_Data!B470),4)),VALUE(MID(TRIM(Raw_Data!B470),4,2)),VALUE(LEFT(TRIM(Raw_Data!B470),2))),"CHECK"),Raw_Data!B470))</f>
        <v>46108</v>
      </c>
      <c r="C456" s="31" t="str">
        <f aca="false">IFERROR(INDEX(Reference_Lists!$C$23:$C$35,MATCH(PROPER(TRIM(Raw_Data!C470)),Reference_Lists!$B$23:$B$35,0)),"UNMATCHED")</f>
        <v>Suggestion Box</v>
      </c>
      <c r="D456" s="31" t="str">
        <f aca="false">IFERROR(INDEX(Reference_Lists!$C$36:$C$50,MATCH(PROPER(TRIM(Raw_Data!D470)),Reference_Lists!$B$36:$B$50,0)),"UNMATCHED")</f>
        <v>Deir al-Balah</v>
      </c>
      <c r="E456" s="31" t="str">
        <f aca="false">IF(Raw_Data!E470="","",Raw_Data!E470)</f>
        <v>WASH</v>
      </c>
      <c r="F456" s="31" t="str">
        <f aca="false">IF(Raw_Data!F470="","",Raw_Data!F470)</f>
        <v>Suggestion</v>
      </c>
      <c r="G456" s="32" t="str">
        <f aca="false">IF(Raw_Data!G470="","",Raw_Data!G470)</f>
        <v>Non-Sensitive</v>
      </c>
      <c r="H456" s="32" t="str">
        <f aca="false">IFERROR(INDEX(Reference_Lists!$C$51:$C$57,MATCH(PROPER(TRIM(Raw_Data!H470)),Reference_Lists!$B$51:$B$57,0)),"UNMATCHED")</f>
        <v>Male</v>
      </c>
      <c r="I456" s="32" t="str">
        <f aca="false">IF(Raw_Data!I470="","",Raw_Data!I470)</f>
        <v>30-44</v>
      </c>
      <c r="J456" s="32" t="str">
        <f aca="false">IFERROR(INDEX(Reference_Lists!$C$58:$C$65,MATCH(PROPER(TRIM(Raw_Data!J470)),Reference_Lists!$B$58:$B$65,0)),"UNMATCHED")</f>
        <v>Closed</v>
      </c>
      <c r="K456" s="30" t="n">
        <f aca="false">IF(Raw_Data!K470="","",IF(ISTEXT(Raw_Data!K470),IFERROR(DATE(VALUE(RIGHT(TRIM(Raw_Data!K470),4)),VALUE(MID(TRIM(Raw_Data!K470),4,2)),VALUE(LEFT(TRIM(Raw_Data!K470),2))),"CHECK"),Raw_Data!K470))</f>
        <v>46136</v>
      </c>
      <c r="L456" s="33" t="str">
        <f aca="false">IF(Raw_Data!L470="","",Raw_Data!L470)</f>
        <v/>
      </c>
      <c r="M456" s="34" t="n">
        <f aca="false">IF(OR(B456="",K456=""),"",IFERROR(K456-B456,"CHECK"))</f>
        <v>28</v>
      </c>
      <c r="N456" s="34" t="n">
        <f aca="false">IFERROR(INDEX(Reference_Lists!$H$13:$H$14,MATCH(G456,Reference_Lists!$G$13:$G$14,0)),"UNMATCHED")</f>
        <v>15</v>
      </c>
      <c r="O456" s="35" t="b">
        <f aca="false">IF(AND(J456="Closed",ISNUMBER(M456),ISNUMBER(N456),M456&gt;=0),M456&lt;=N456,"NOT ASSESSED")</f>
        <v>0</v>
      </c>
      <c r="P456" s="36" t="str">
        <f aca="false">Raw_Data!A470</f>
        <v>CFM-2026-0313</v>
      </c>
      <c r="Q456" s="37" t="str">
        <f aca="false">IFERROR(IF(OR($A456="",$P456=""),"MISSING ID",IF(EXACT($A456,$P456),"ALIGNED","MISMATCH")),"CHECK")</f>
        <v>ALIGNED</v>
      </c>
    </row>
    <row r="457" customFormat="false" ht="19.5" hidden="false" customHeight="true" outlineLevel="0" collapsed="false">
      <c r="A457" s="29" t="s">
        <v>584</v>
      </c>
      <c r="B457" s="30" t="n">
        <f aca="false">IF(Raw_Data!B471="","",IF(ISTEXT(Raw_Data!B471),IFERROR(DATE(VALUE(RIGHT(TRIM(Raw_Data!B471),4)),VALUE(MID(TRIM(Raw_Data!B471),4,2)),VALUE(LEFT(TRIM(Raw_Data!B471),2))),"CHECK"),Raw_Data!B471))</f>
        <v>46129</v>
      </c>
      <c r="C457" s="31" t="str">
        <f aca="false">IFERROR(INDEX(Reference_Lists!$C$23:$C$35,MATCH(PROPER(TRIM(Raw_Data!C471)),Reference_Lists!$B$23:$B$35,0)),"UNMATCHED")</f>
        <v>In-Person at Distribution</v>
      </c>
      <c r="D457" s="31" t="str">
        <f aca="false">IFERROR(INDEX(Reference_Lists!$C$36:$C$50,MATCH(PROPER(TRIM(Raw_Data!D471)),Reference_Lists!$B$36:$B$50,0)),"UNMATCHED")</f>
        <v>Khan Yunis</v>
      </c>
      <c r="E457" s="31" t="str">
        <f aca="false">IF(Raw_Data!E471="","",Raw_Data!E471)</f>
        <v>Health</v>
      </c>
      <c r="F457" s="31" t="str">
        <f aca="false">IF(Raw_Data!F471="","",Raw_Data!F471)</f>
        <v>Request for Information</v>
      </c>
      <c r="G457" s="32" t="str">
        <f aca="false">IF(Raw_Data!G471="","",Raw_Data!G471)</f>
        <v>Non-Sensitive</v>
      </c>
      <c r="H457" s="32" t="str">
        <f aca="false">IFERROR(INDEX(Reference_Lists!$C$51:$C$57,MATCH(PROPER(TRIM(Raw_Data!H471)),Reference_Lists!$B$51:$B$57,0)),"UNMATCHED")</f>
        <v>Male</v>
      </c>
      <c r="I457" s="32" t="str">
        <f aca="false">IF(Raw_Data!I471="","",Raw_Data!I471)</f>
        <v>18-29</v>
      </c>
      <c r="J457" s="32" t="str">
        <f aca="false">IFERROR(INDEX(Reference_Lists!$C$58:$C$65,MATCH(PROPER(TRIM(Raw_Data!J471)),Reference_Lists!$B$58:$B$65,0)),"UNMATCHED")</f>
        <v>Open</v>
      </c>
      <c r="K457" s="30" t="str">
        <f aca="false">IF(Raw_Data!K471="","",IF(ISTEXT(Raw_Data!K471),IFERROR(DATE(VALUE(RIGHT(TRIM(Raw_Data!K471),4)),VALUE(MID(TRIM(Raw_Data!K471),4,2)),VALUE(LEFT(TRIM(Raw_Data!K471),2))),"CHECK"),Raw_Data!K471))</f>
        <v/>
      </c>
      <c r="L457" s="33" t="str">
        <f aca="false">IF(Raw_Data!L471="","",Raw_Data!L471)</f>
        <v>Requesting a referral pathway for a family member with limited mobility.</v>
      </c>
      <c r="M457" s="34" t="str">
        <f aca="false">IF(OR(B457="",K457=""),"",IFERROR(K457-B457,"CHECK"))</f>
        <v/>
      </c>
      <c r="N457" s="34" t="n">
        <f aca="false">IFERROR(INDEX(Reference_Lists!$H$13:$H$14,MATCH(G457,Reference_Lists!$G$13:$G$14,0)),"UNMATCHED")</f>
        <v>15</v>
      </c>
      <c r="O457" s="32" t="str">
        <f aca="false">IF(AND(J457="Closed",ISNUMBER(M457),ISNUMBER(N457),M457&gt;=0),M457&lt;=N457,"NOT ASSESSED")</f>
        <v>NOT ASSESSED</v>
      </c>
      <c r="P457" s="36" t="str">
        <f aca="false">Raw_Data!A471</f>
        <v>CFM-2026-0108</v>
      </c>
      <c r="Q457" s="37" t="str">
        <f aca="false">IFERROR(IF(OR($A457="",$P457=""),"MISSING ID",IF(EXACT($A457,$P457),"ALIGNED","MISMATCH")),"CHECK")</f>
        <v>ALIGNED</v>
      </c>
    </row>
    <row r="458" customFormat="false" ht="19.5" hidden="false" customHeight="true" outlineLevel="0" collapsed="false">
      <c r="A458" s="29" t="s">
        <v>585</v>
      </c>
      <c r="B458" s="30" t="n">
        <f aca="false">IF(Raw_Data!B472="","",IF(ISTEXT(Raw_Data!B472),IFERROR(DATE(VALUE(RIGHT(TRIM(Raw_Data!B472),4)),VALUE(MID(TRIM(Raw_Data!B472),4,2)),VALUE(LEFT(TRIM(Raw_Data!B472),2))),"CHECK"),Raw_Data!B472))</f>
        <v>46039</v>
      </c>
      <c r="C458" s="31" t="str">
        <f aca="false">IFERROR(INDEX(Reference_Lists!$C$23:$C$35,MATCH(PROPER(TRIM(Raw_Data!C472)),Reference_Lists!$B$23:$B$35,0)),"UNMATCHED")</f>
        <v>Suggestion Box</v>
      </c>
      <c r="D458" s="31" t="str">
        <f aca="false">IFERROR(INDEX(Reference_Lists!$C$36:$C$50,MATCH(PROPER(TRIM(Raw_Data!D472)),Reference_Lists!$B$36:$B$50,0)),"UNMATCHED")</f>
        <v>Nuseirat</v>
      </c>
      <c r="E458" s="31" t="str">
        <f aca="false">IF(Raw_Data!E472="","",Raw_Data!E472)</f>
        <v>Nutrition</v>
      </c>
      <c r="F458" s="31" t="str">
        <f aca="false">IF(Raw_Data!F472="","",Raw_Data!F472)</f>
        <v>Suggestion</v>
      </c>
      <c r="G458" s="32" t="str">
        <f aca="false">IF(Raw_Data!G472="","",Raw_Data!G472)</f>
        <v>Non-Sensitive</v>
      </c>
      <c r="H458" s="32" t="str">
        <f aca="false">IFERROR(INDEX(Reference_Lists!$C$51:$C$57,MATCH(PROPER(TRIM(Raw_Data!H472)),Reference_Lists!$B$51:$B$57,0)),"UNMATCHED")</f>
        <v>Male</v>
      </c>
      <c r="I458" s="32" t="str">
        <f aca="false">IF(Raw_Data!I472="","",Raw_Data!I472)</f>
        <v>18-29</v>
      </c>
      <c r="J458" s="32" t="str">
        <f aca="false">IFERROR(INDEX(Reference_Lists!$C$58:$C$65,MATCH(PROPER(TRIM(Raw_Data!J472)),Reference_Lists!$B$58:$B$65,0)),"UNMATCHED")</f>
        <v>Open</v>
      </c>
      <c r="K458" s="30" t="str">
        <f aca="false">IF(Raw_Data!K472="","",IF(ISTEXT(Raw_Data!K472),IFERROR(DATE(VALUE(RIGHT(TRIM(Raw_Data!K472),4)),VALUE(MID(TRIM(Raw_Data!K472),4,2)),VALUE(LEFT(TRIM(Raw_Data!K472),2))),"CHECK"),Raw_Data!K472))</f>
        <v/>
      </c>
      <c r="L458" s="33" t="str">
        <f aca="false">IF(Raw_Data!L472="","",Raw_Data!L472)</f>
        <v>Requesting a screening session closer to the northern shelter.</v>
      </c>
      <c r="M458" s="34" t="str">
        <f aca="false">IF(OR(B458="",K458=""),"",IFERROR(K458-B458,"CHECK"))</f>
        <v/>
      </c>
      <c r="N458" s="34" t="n">
        <f aca="false">IFERROR(INDEX(Reference_Lists!$H$13:$H$14,MATCH(G458,Reference_Lists!$G$13:$G$14,0)),"UNMATCHED")</f>
        <v>15</v>
      </c>
      <c r="O458" s="32" t="str">
        <f aca="false">IF(AND(J458="Closed",ISNUMBER(M458),ISNUMBER(N458),M458&gt;=0),M458&lt;=N458,"NOT ASSESSED")</f>
        <v>NOT ASSESSED</v>
      </c>
      <c r="P458" s="36" t="str">
        <f aca="false">Raw_Data!A472</f>
        <v>CFM-2026-0410</v>
      </c>
      <c r="Q458" s="37" t="str">
        <f aca="false">IFERROR(IF(OR($A458="",$P458=""),"MISSING ID",IF(EXACT($A458,$P458),"ALIGNED","MISMATCH")),"CHECK")</f>
        <v>ALIGNED</v>
      </c>
    </row>
    <row r="459" customFormat="false" ht="19.5" hidden="false" customHeight="true" outlineLevel="0" collapsed="false">
      <c r="A459" s="29" t="s">
        <v>586</v>
      </c>
      <c r="B459" s="30" t="n">
        <f aca="false">IF(Raw_Data!B473="","",IF(ISTEXT(Raw_Data!B473),IFERROR(DATE(VALUE(RIGHT(TRIM(Raw_Data!B473),4)),VALUE(MID(TRIM(Raw_Data!B473),4,2)),VALUE(LEFT(TRIM(Raw_Data!B473),2))),"CHECK"),Raw_Data!B473))</f>
        <v>46084</v>
      </c>
      <c r="C459" s="31" t="str">
        <f aca="false">IFERROR(INDEX(Reference_Lists!$C$23:$C$35,MATCH(PROPER(TRIM(Raw_Data!C473)),Reference_Lists!$B$23:$B$35,0)),"UNMATCHED")</f>
        <v>In-Person at Distribution</v>
      </c>
      <c r="D459" s="31" t="str">
        <f aca="false">IFERROR(INDEX(Reference_Lists!$C$36:$C$50,MATCH(PROPER(TRIM(Raw_Data!D473)),Reference_Lists!$B$36:$B$50,0)),"UNMATCHED")</f>
        <v>Khan Yunis</v>
      </c>
      <c r="E459" s="31" t="str">
        <f aca="false">IF(Raw_Data!E473="","",Raw_Data!E473)</f>
        <v/>
      </c>
      <c r="F459" s="31" t="str">
        <f aca="false">IF(Raw_Data!F473="","",Raw_Data!F473)</f>
        <v>Appreciation</v>
      </c>
      <c r="G459" s="32" t="str">
        <f aca="false">IF(Raw_Data!G473="","",Raw_Data!G473)</f>
        <v>Non-Sensitive</v>
      </c>
      <c r="H459" s="32" t="str">
        <f aca="false">IFERROR(INDEX(Reference_Lists!$C$51:$C$57,MATCH(PROPER(TRIM(Raw_Data!H473)),Reference_Lists!$B$51:$B$57,0)),"UNMATCHED")</f>
        <v>Female</v>
      </c>
      <c r="I459" s="32" t="str">
        <f aca="false">IF(Raw_Data!I473="","",Raw_Data!I473)</f>
        <v>30-44</v>
      </c>
      <c r="J459" s="32" t="str">
        <f aca="false">IFERROR(INDEX(Reference_Lists!$C$58:$C$65,MATCH(PROPER(TRIM(Raw_Data!J473)),Reference_Lists!$B$58:$B$65,0)),"UNMATCHED")</f>
        <v>Open</v>
      </c>
      <c r="K459" s="30" t="n">
        <f aca="false">IF(Raw_Data!K473="","",IF(ISTEXT(Raw_Data!K473),IFERROR(DATE(VALUE(RIGHT(TRIM(Raw_Data!K473),4)),VALUE(MID(TRIM(Raw_Data!K473),4,2)),VALUE(LEFT(TRIM(Raw_Data!K473),2))),"CHECK"),Raw_Data!K473))</f>
        <v>46097</v>
      </c>
      <c r="L459" s="33" t="str">
        <f aca="false">IF(Raw_Data!L473="","",Raw_Data!L473)</f>
        <v>Supplement was received but the guidance sheet was in English only.</v>
      </c>
      <c r="M459" s="34" t="n">
        <f aca="false">IF(OR(B459="",K459=""),"",IFERROR(K459-B459,"CHECK"))</f>
        <v>13</v>
      </c>
      <c r="N459" s="34" t="n">
        <f aca="false">IFERROR(INDEX(Reference_Lists!$H$13:$H$14,MATCH(G459,Reference_Lists!$G$13:$G$14,0)),"UNMATCHED")</f>
        <v>15</v>
      </c>
      <c r="O459" s="32" t="str">
        <f aca="false">IF(AND(J459="Closed",ISNUMBER(M459),ISNUMBER(N459),M459&gt;=0),M459&lt;=N459,"NOT ASSESSED")</f>
        <v>NOT ASSESSED</v>
      </c>
      <c r="P459" s="36" t="str">
        <f aca="false">Raw_Data!A473</f>
        <v>CFM-2026-0097</v>
      </c>
      <c r="Q459" s="37" t="str">
        <f aca="false">IFERROR(IF(OR($A459="",$P459=""),"MISSING ID",IF(EXACT($A459,$P459),"ALIGNED","MISMATCH")),"CHECK")</f>
        <v>ALIGNED</v>
      </c>
    </row>
    <row r="460" customFormat="false" ht="19.5" hidden="false" customHeight="true" outlineLevel="0" collapsed="false">
      <c r="A460" s="29" t="s">
        <v>587</v>
      </c>
      <c r="B460" s="30" t="n">
        <f aca="false">IF(Raw_Data!B474="","",IF(ISTEXT(Raw_Data!B474),IFERROR(DATE(VALUE(RIGHT(TRIM(Raw_Data!B474),4)),VALUE(MID(TRIM(Raw_Data!B474),4,2)),VALUE(LEFT(TRIM(Raw_Data!B474),2))),"CHECK"),Raw_Data!B474))</f>
        <v>46187</v>
      </c>
      <c r="C460" s="31" t="str">
        <f aca="false">IFERROR(INDEX(Reference_Lists!$C$23:$C$35,MATCH(PROPER(TRIM(Raw_Data!C474)),Reference_Lists!$B$23:$B$35,0)),"UNMATCHED")</f>
        <v>In-Person at Distribution</v>
      </c>
      <c r="D460" s="31" t="str">
        <f aca="false">IFERROR(INDEX(Reference_Lists!$C$36:$C$50,MATCH(PROPER(TRIM(Raw_Data!D474)),Reference_Lists!$B$36:$B$50,0)),"UNMATCHED")</f>
        <v>Jabalia</v>
      </c>
      <c r="E460" s="31" t="str">
        <f aca="false">IF(Raw_Data!E474="","",Raw_Data!E474)</f>
        <v>Food Security</v>
      </c>
      <c r="F460" s="31" t="str">
        <f aca="false">IF(Raw_Data!F474="","",Raw_Data!F474)</f>
        <v>Complaint</v>
      </c>
      <c r="G460" s="32" t="str">
        <f aca="false">IF(Raw_Data!G474="","",Raw_Data!G474)</f>
        <v>Non-Sensitive</v>
      </c>
      <c r="H460" s="32" t="str">
        <f aca="false">IFERROR(INDEX(Reference_Lists!$C$51:$C$57,MATCH(PROPER(TRIM(Raw_Data!H474)),Reference_Lists!$B$51:$B$57,0)),"UNMATCHED")</f>
        <v>Female</v>
      </c>
      <c r="I460" s="32" t="str">
        <f aca="false">IF(Raw_Data!I474="","",Raw_Data!I474)</f>
        <v>18-29</v>
      </c>
      <c r="J460" s="32" t="str">
        <f aca="false">IFERROR(INDEX(Reference_Lists!$C$58:$C$65,MATCH(PROPER(TRIM(Raw_Data!J474)),Reference_Lists!$B$58:$B$65,0)),"UNMATCHED")</f>
        <v>Closed</v>
      </c>
      <c r="K460" s="30" t="n">
        <f aca="false">IF(Raw_Data!K474="","",IF(ISTEXT(Raw_Data!K474),IFERROR(DATE(VALUE(RIGHT(TRIM(Raw_Data!K474),4)),VALUE(MID(TRIM(Raw_Data!K474),4,2)),VALUE(LEFT(TRIM(Raw_Data!K474),2))),"CHECK"),Raw_Data!K474))</f>
        <v>46189</v>
      </c>
      <c r="L460" s="33" t="str">
        <f aca="false">IF(Raw_Data!L474="","",Raw_Data!L474)</f>
        <v>Asking how the beneficiary list for the next round is prepared.</v>
      </c>
      <c r="M460" s="34" t="n">
        <f aca="false">IF(OR(B460="",K460=""),"",IFERROR(K460-B460,"CHECK"))</f>
        <v>2</v>
      </c>
      <c r="N460" s="34" t="n">
        <f aca="false">IFERROR(INDEX(Reference_Lists!$H$13:$H$14,MATCH(G460,Reference_Lists!$G$13:$G$14,0)),"UNMATCHED")</f>
        <v>15</v>
      </c>
      <c r="O460" s="35" t="b">
        <f aca="false">IF(AND(J460="Closed",ISNUMBER(M460),ISNUMBER(N460),M460&gt;=0),M460&lt;=N460,"NOT ASSESSED")</f>
        <v>1</v>
      </c>
      <c r="P460" s="36" t="str">
        <f aca="false">Raw_Data!A474</f>
        <v>CFM-2026-0256</v>
      </c>
      <c r="Q460" s="37" t="str">
        <f aca="false">IFERROR(IF(OR($A460="",$P460=""),"MISSING ID",IF(EXACT($A460,$P460),"ALIGNED","MISMATCH")),"CHECK")</f>
        <v>ALIGNED</v>
      </c>
    </row>
    <row r="461" customFormat="false" ht="19.5" hidden="false" customHeight="true" outlineLevel="0" collapsed="false">
      <c r="A461" s="29" t="s">
        <v>588</v>
      </c>
      <c r="B461" s="30" t="n">
        <f aca="false">IF(Raw_Data!B475="","",IF(ISTEXT(Raw_Data!B475),IFERROR(DATE(VALUE(RIGHT(TRIM(Raw_Data!B475),4)),VALUE(MID(TRIM(Raw_Data!B475),4,2)),VALUE(LEFT(TRIM(Raw_Data!B475),2))),"CHECK"),Raw_Data!B475))</f>
        <v>46129</v>
      </c>
      <c r="C461" s="31" t="str">
        <f aca="false">IFERROR(INDEX(Reference_Lists!$C$23:$C$35,MATCH(PROPER(TRIM(Raw_Data!C475)),Reference_Lists!$B$23:$B$35,0)),"UNMATCHED")</f>
        <v>Phone Hotline</v>
      </c>
      <c r="D461" s="31" t="str">
        <f aca="false">IFERROR(INDEX(Reference_Lists!$C$36:$C$50,MATCH(PROPER(TRIM(Raw_Data!D475)),Reference_Lists!$B$36:$B$50,0)),"UNMATCHED")</f>
        <v>Gaza City</v>
      </c>
      <c r="E461" s="31" t="str">
        <f aca="false">IF(Raw_Data!E475="","",Raw_Data!E475)</f>
        <v>Health</v>
      </c>
      <c r="F461" s="31" t="str">
        <f aca="false">IF(Raw_Data!F475="","",Raw_Data!F475)</f>
        <v>Complaint</v>
      </c>
      <c r="G461" s="32" t="str">
        <f aca="false">IF(Raw_Data!G475="","",Raw_Data!G475)</f>
        <v>Non-Sensitive</v>
      </c>
      <c r="H461" s="32" t="str">
        <f aca="false">IFERROR(INDEX(Reference_Lists!$C$51:$C$57,MATCH(PROPER(TRIM(Raw_Data!H475)),Reference_Lists!$B$51:$B$57,0)),"UNMATCHED")</f>
        <v>Male</v>
      </c>
      <c r="I461" s="32" t="str">
        <f aca="false">IF(Raw_Data!I475="","",Raw_Data!I475)</f>
        <v>Under 18</v>
      </c>
      <c r="J461" s="32" t="str">
        <f aca="false">IFERROR(INDEX(Reference_Lists!$C$58:$C$65,MATCH(PROPER(TRIM(Raw_Data!J475)),Reference_Lists!$B$58:$B$65,0)),"UNMATCHED")</f>
        <v>Closed</v>
      </c>
      <c r="K461" s="30" t="n">
        <f aca="false">IF(Raw_Data!K475="","",IF(ISTEXT(Raw_Data!K475),IFERROR(DATE(VALUE(RIGHT(TRIM(Raw_Data!K475),4)),VALUE(MID(TRIM(Raw_Data!K475),4,2)),VALUE(LEFT(TRIM(Raw_Data!K475),2))),"CHECK"),Raw_Data!K475))</f>
        <v>46157</v>
      </c>
      <c r="L461" s="33" t="str">
        <f aca="false">IF(Raw_Data!L475="","",Raw_Data!L475)</f>
        <v>Clinic opening hours are not clear to the community.</v>
      </c>
      <c r="M461" s="34" t="n">
        <f aca="false">IF(OR(B461="",K461=""),"",IFERROR(K461-B461,"CHECK"))</f>
        <v>28</v>
      </c>
      <c r="N461" s="34" t="n">
        <f aca="false">IFERROR(INDEX(Reference_Lists!$H$13:$H$14,MATCH(G461,Reference_Lists!$G$13:$G$14,0)),"UNMATCHED")</f>
        <v>15</v>
      </c>
      <c r="O461" s="35" t="b">
        <f aca="false">IF(AND(J461="Closed",ISNUMBER(M461),ISNUMBER(N461),M461&gt;=0),M461&lt;=N461,"NOT ASSESSED")</f>
        <v>0</v>
      </c>
      <c r="P461" s="36" t="str">
        <f aca="false">Raw_Data!A475</f>
        <v>CFM-2026-0462</v>
      </c>
      <c r="Q461" s="37" t="str">
        <f aca="false">IFERROR(IF(OR($A461="",$P461=""),"MISSING ID",IF(EXACT($A461,$P461),"ALIGNED","MISMATCH")),"CHECK")</f>
        <v>ALIGNED</v>
      </c>
    </row>
    <row r="462" customFormat="false" ht="19.5" hidden="false" customHeight="true" outlineLevel="0" collapsed="false">
      <c r="A462" s="29" t="s">
        <v>589</v>
      </c>
      <c r="B462" s="30" t="n">
        <f aca="false">IF(Raw_Data!B476="","",IF(ISTEXT(Raw_Data!B476),IFERROR(DATE(VALUE(RIGHT(TRIM(Raw_Data!B476),4)),VALUE(MID(TRIM(Raw_Data!B476),4,2)),VALUE(LEFT(TRIM(Raw_Data!B476),2))),"CHECK"),Raw_Data!B476))</f>
        <v>46172</v>
      </c>
      <c r="C462" s="31" t="str">
        <f aca="false">IFERROR(INDEX(Reference_Lists!$C$23:$C$35,MATCH(PROPER(TRIM(Raw_Data!C476)),Reference_Lists!$B$23:$B$35,0)),"UNMATCHED")</f>
        <v>In-Person at Distribution</v>
      </c>
      <c r="D462" s="31" t="str">
        <f aca="false">IFERROR(INDEX(Reference_Lists!$C$36:$C$50,MATCH(PROPER(TRIM(Raw_Data!D476)),Reference_Lists!$B$36:$B$50,0)),"UNMATCHED")</f>
        <v>Rafah</v>
      </c>
      <c r="E462" s="31" t="str">
        <f aca="false">IF(Raw_Data!E476="","",Raw_Data!E476)</f>
        <v>Food Security</v>
      </c>
      <c r="F462" s="31" t="str">
        <f aca="false">IF(Raw_Data!F476="","",Raw_Data!F476)</f>
        <v>Appreciation</v>
      </c>
      <c r="G462" s="32" t="str">
        <f aca="false">IF(Raw_Data!G476="","",Raw_Data!G476)</f>
        <v>Non-Sensitive</v>
      </c>
      <c r="H462" s="32" t="str">
        <f aca="false">IFERROR(INDEX(Reference_Lists!$C$51:$C$57,MATCH(PROPER(TRIM(Raw_Data!H476)),Reference_Lists!$B$51:$B$57,0)),"UNMATCHED")</f>
        <v>Female</v>
      </c>
      <c r="I462" s="32" t="str">
        <f aca="false">IF(Raw_Data!I476="","",Raw_Data!I476)</f>
        <v>18-29</v>
      </c>
      <c r="J462" s="32" t="str">
        <f aca="false">IFERROR(INDEX(Reference_Lists!$C$58:$C$65,MATCH(PROPER(TRIM(Raw_Data!J476)),Reference_Lists!$B$58:$B$65,0)),"UNMATCHED")</f>
        <v>Closed</v>
      </c>
      <c r="K462" s="30" t="n">
        <f aca="false">IF(Raw_Data!K476="","",IF(ISTEXT(Raw_Data!K476),IFERROR(DATE(VALUE(RIGHT(TRIM(Raw_Data!K476),4)),VALUE(MID(TRIM(Raw_Data!K476),4,2)),VALUE(LEFT(TRIM(Raw_Data!K476),2))),"CHECK"),Raw_Data!K476))</f>
        <v>46175</v>
      </c>
      <c r="L462" s="33" t="str">
        <f aca="false">IF(Raw_Data!L476="","",Raw_Data!L476)</f>
        <v>Distribution point is far and transport cost is high for our family.</v>
      </c>
      <c r="M462" s="34" t="n">
        <f aca="false">IF(OR(B462="",K462=""),"",IFERROR(K462-B462,"CHECK"))</f>
        <v>3</v>
      </c>
      <c r="N462" s="34" t="n">
        <f aca="false">IFERROR(INDEX(Reference_Lists!$H$13:$H$14,MATCH(G462,Reference_Lists!$G$13:$G$14,0)),"UNMATCHED")</f>
        <v>15</v>
      </c>
      <c r="O462" s="35" t="b">
        <f aca="false">IF(AND(J462="Closed",ISNUMBER(M462),ISNUMBER(N462),M462&gt;=0),M462&lt;=N462,"NOT ASSESSED")</f>
        <v>1</v>
      </c>
      <c r="P462" s="36" t="str">
        <f aca="false">Raw_Data!A476</f>
        <v>CFM-2026-0314</v>
      </c>
      <c r="Q462" s="37" t="str">
        <f aca="false">IFERROR(IF(OR($A462="",$P462=""),"MISSING ID",IF(EXACT($A462,$P462),"ALIGNED","MISMATCH")),"CHECK")</f>
        <v>ALIGNED</v>
      </c>
    </row>
    <row r="463" customFormat="false" ht="19.5" hidden="false" customHeight="true" outlineLevel="0" collapsed="false">
      <c r="A463" s="29" t="s">
        <v>591</v>
      </c>
      <c r="B463" s="30" t="n">
        <f aca="false">IF(Raw_Data!B477="","",IF(ISTEXT(Raw_Data!B477),IFERROR(DATE(VALUE(RIGHT(TRIM(Raw_Data!B477),4)),VALUE(MID(TRIM(Raw_Data!B477),4,2)),VALUE(LEFT(TRIM(Raw_Data!B477),2))),"CHECK"),Raw_Data!B477))</f>
        <v>46050</v>
      </c>
      <c r="C463" s="31" t="str">
        <f aca="false">IFERROR(INDEX(Reference_Lists!$C$23:$C$35,MATCH(PROPER(TRIM(Raw_Data!C477)),Reference_Lists!$B$23:$B$35,0)),"UNMATCHED")</f>
        <v>In-Person at Distribution</v>
      </c>
      <c r="D463" s="31" t="str">
        <f aca="false">IFERROR(INDEX(Reference_Lists!$C$36:$C$50,MATCH(PROPER(TRIM(Raw_Data!D477)),Reference_Lists!$B$36:$B$50,0)),"UNMATCHED")</f>
        <v>Deir al-Balah</v>
      </c>
      <c r="E463" s="31" t="str">
        <f aca="false">IF(Raw_Data!E477="","",Raw_Data!E477)</f>
        <v>WASH</v>
      </c>
      <c r="F463" s="31" t="str">
        <f aca="false">IF(Raw_Data!F477="","",Raw_Data!F477)</f>
        <v>Request for Information</v>
      </c>
      <c r="G463" s="32" t="str">
        <f aca="false">IF(Raw_Data!G477="","",Raw_Data!G477)</f>
        <v>Non-Sensitive</v>
      </c>
      <c r="H463" s="32" t="str">
        <f aca="false">IFERROR(INDEX(Reference_Lists!$C$51:$C$57,MATCH(PROPER(TRIM(Raw_Data!H477)),Reference_Lists!$B$51:$B$57,0)),"UNMATCHED")</f>
        <v>Female</v>
      </c>
      <c r="I463" s="32" t="str">
        <f aca="false">IF(Raw_Data!I477="","",Raw_Data!I477)</f>
        <v>30-44</v>
      </c>
      <c r="J463" s="32" t="str">
        <f aca="false">IFERROR(INDEX(Reference_Lists!$C$58:$C$65,MATCH(PROPER(TRIM(Raw_Data!J477)),Reference_Lists!$B$58:$B$65,0)),"UNMATCHED")</f>
        <v>Open</v>
      </c>
      <c r="K463" s="30" t="str">
        <f aca="false">IF(Raw_Data!K477="","",IF(ISTEXT(Raw_Data!K477),IFERROR(DATE(VALUE(RIGHT(TRIM(Raw_Data!K477),4)),VALUE(MID(TRIM(Raw_Data!K477),4,2)),VALUE(LEFT(TRIM(Raw_Data!K477),2))),"CHECK"),Raw_Data!K477))</f>
        <v/>
      </c>
      <c r="L463" s="33" t="str">
        <f aca="false">IF(Raw_Data!L477="","",Raw_Data!L477)</f>
        <v>Water truck did not arrive at the agreed time for three consecutive days.</v>
      </c>
      <c r="M463" s="34" t="str">
        <f aca="false">IF(OR(B463="",K463=""),"",IFERROR(K463-B463,"CHECK"))</f>
        <v/>
      </c>
      <c r="N463" s="34" t="n">
        <f aca="false">IFERROR(INDEX(Reference_Lists!$H$13:$H$14,MATCH(G463,Reference_Lists!$G$13:$G$14,0)),"UNMATCHED")</f>
        <v>15</v>
      </c>
      <c r="O463" s="32" t="str">
        <f aca="false">IF(AND(J463="Closed",ISNUMBER(M463),ISNUMBER(N463),M463&gt;=0),M463&lt;=N463,"NOT ASSESSED")</f>
        <v>NOT ASSESSED</v>
      </c>
      <c r="P463" s="36" t="str">
        <f aca="false">Raw_Data!A477</f>
        <v>CFM-2026-0266</v>
      </c>
      <c r="Q463" s="37" t="str">
        <f aca="false">IFERROR(IF(OR($A463="",$P463=""),"MISSING ID",IF(EXACT($A463,$P463),"ALIGNED","MISMATCH")),"CHECK")</f>
        <v>ALIGNED</v>
      </c>
    </row>
    <row r="464" customFormat="false" ht="19.5" hidden="false" customHeight="true" outlineLevel="0" collapsed="false">
      <c r="A464" s="29" t="s">
        <v>592</v>
      </c>
      <c r="B464" s="30" t="n">
        <f aca="false">IF(Raw_Data!B479="","",IF(ISTEXT(Raw_Data!B479),IFERROR(DATE(VALUE(RIGHT(TRIM(Raw_Data!B479),4)),VALUE(MID(TRIM(Raw_Data!B479),4,2)),VALUE(LEFT(TRIM(Raw_Data!B479),2))),"CHECK"),Raw_Data!B479))</f>
        <v>46117</v>
      </c>
      <c r="C464" s="31" t="str">
        <f aca="false">IFERROR(INDEX(Reference_Lists!$C$23:$C$35,MATCH(PROPER(TRIM(Raw_Data!C479)),Reference_Lists!$B$23:$B$35,0)),"UNMATCHED")</f>
        <v>Suggestion Box</v>
      </c>
      <c r="D464" s="31" t="str">
        <f aca="false">IFERROR(INDEX(Reference_Lists!$C$36:$C$50,MATCH(PROPER(TRIM(Raw_Data!D479)),Reference_Lists!$B$36:$B$50,0)),"UNMATCHED")</f>
        <v>Nuseirat</v>
      </c>
      <c r="E464" s="31" t="str">
        <f aca="false">IF(Raw_Data!E479="","",Raw_Data!E479)</f>
        <v>Nutrition</v>
      </c>
      <c r="F464" s="31" t="str">
        <f aca="false">IF(Raw_Data!F479="","",Raw_Data!F479)</f>
        <v>Appreciation</v>
      </c>
      <c r="G464" s="32" t="str">
        <f aca="false">IF(Raw_Data!G479="","",Raw_Data!G479)</f>
        <v>Non-Sensitive</v>
      </c>
      <c r="H464" s="32" t="str">
        <f aca="false">IFERROR(INDEX(Reference_Lists!$C$51:$C$57,MATCH(PROPER(TRIM(Raw_Data!H479)),Reference_Lists!$B$51:$B$57,0)),"UNMATCHED")</f>
        <v>Female</v>
      </c>
      <c r="I464" s="32" t="str">
        <f aca="false">IF(Raw_Data!I479="","",Raw_Data!I479)</f>
        <v>30-44</v>
      </c>
      <c r="J464" s="32" t="str">
        <f aca="false">IFERROR(INDEX(Reference_Lists!$C$58:$C$65,MATCH(PROPER(TRIM(Raw_Data!J479)),Reference_Lists!$B$58:$B$65,0)),"UNMATCHED")</f>
        <v>Open</v>
      </c>
      <c r="K464" s="30" t="str">
        <f aca="false">IF(Raw_Data!K479="","",IF(ISTEXT(Raw_Data!K479),IFERROR(DATE(VALUE(RIGHT(TRIM(Raw_Data!K479),4)),VALUE(MID(TRIM(Raw_Data!K479),4,2)),VALUE(LEFT(TRIM(Raw_Data!K479),2))),"CHECK"),Raw_Data!K479))</f>
        <v/>
      </c>
      <c r="L464" s="33" t="str">
        <f aca="false">IF(Raw_Data!L479="","",Raw_Data!L479)</f>
        <v>Requesting a screening session closer to the northern shelter.</v>
      </c>
      <c r="M464" s="34" t="str">
        <f aca="false">IF(OR(B464="",K464=""),"",IFERROR(K464-B464,"CHECK"))</f>
        <v/>
      </c>
      <c r="N464" s="34" t="n">
        <f aca="false">IFERROR(INDEX(Reference_Lists!$H$13:$H$14,MATCH(G464,Reference_Lists!$G$13:$G$14,0)),"UNMATCHED")</f>
        <v>15</v>
      </c>
      <c r="O464" s="32" t="str">
        <f aca="false">IF(AND(J464="Closed",ISNUMBER(M464),ISNUMBER(N464),M464&gt;=0),M464&lt;=N464,"NOT ASSESSED")</f>
        <v>NOT ASSESSED</v>
      </c>
      <c r="P464" s="36" t="str">
        <f aca="false">Raw_Data!A479</f>
        <v>CFM-2026-0102</v>
      </c>
      <c r="Q464" s="37" t="str">
        <f aca="false">IFERROR(IF(OR($A464="",$P464=""),"MISSING ID",IF(EXACT($A464,$P464),"ALIGNED","MISMATCH")),"CHECK")</f>
        <v>ALIGNED</v>
      </c>
    </row>
    <row r="465" customFormat="false" ht="19.5" hidden="false" customHeight="true" outlineLevel="0" collapsed="false">
      <c r="A465" s="29" t="s">
        <v>593</v>
      </c>
      <c r="B465" s="30" t="n">
        <f aca="false">IF(Raw_Data!B480="","",IF(ISTEXT(Raw_Data!B480),IFERROR(DATE(VALUE(RIGHT(TRIM(Raw_Data!B480),4)),VALUE(MID(TRIM(Raw_Data!B480),4,2)),VALUE(LEFT(TRIM(Raw_Data!B480),2))),"CHECK"),Raw_Data!B480))</f>
        <v>46050</v>
      </c>
      <c r="C465" s="31" t="str">
        <f aca="false">IFERROR(INDEX(Reference_Lists!$C$23:$C$35,MATCH(PROPER(TRIM(Raw_Data!C480)),Reference_Lists!$B$23:$B$35,0)),"UNMATCHED")</f>
        <v>Community Focal Point</v>
      </c>
      <c r="D465" s="31" t="str">
        <f aca="false">IFERROR(INDEX(Reference_Lists!$C$36:$C$50,MATCH(PROPER(TRIM(Raw_Data!D480)),Reference_Lists!$B$36:$B$50,0)),"UNMATCHED")</f>
        <v>Jabalia</v>
      </c>
      <c r="E465" s="31" t="str">
        <f aca="false">IF(Raw_Data!E480="","",Raw_Data!E480)</f>
        <v>Shelter</v>
      </c>
      <c r="F465" s="31" t="str">
        <f aca="false">IF(Raw_Data!F480="","",Raw_Data!F480)</f>
        <v>Sensitive Complaint</v>
      </c>
      <c r="G465" s="32" t="str">
        <f aca="false">IF(Raw_Data!G480="","",Raw_Data!G480)</f>
        <v>Sensitive</v>
      </c>
      <c r="H465" s="32" t="str">
        <f aca="false">IFERROR(INDEX(Reference_Lists!$C$51:$C$57,MATCH(PROPER(TRIM(Raw_Data!H480)),Reference_Lists!$B$51:$B$57,0)),"UNMATCHED")</f>
        <v>Male</v>
      </c>
      <c r="I465" s="32" t="str">
        <f aca="false">IF(Raw_Data!I480="","",Raw_Data!I480)</f>
        <v>60+</v>
      </c>
      <c r="J465" s="32" t="str">
        <f aca="false">IFERROR(INDEX(Reference_Lists!$C$58:$C$65,MATCH(PROPER(TRIM(Raw_Data!J480)),Reference_Lists!$B$58:$B$65,0)),"UNMATCHED")</f>
        <v>Closed</v>
      </c>
      <c r="K465" s="30" t="n">
        <f aca="false">IF(Raw_Data!K480="","",IF(ISTEXT(Raw_Data!K480),IFERROR(DATE(VALUE(RIGHT(TRIM(Raw_Data!K480),4)),VALUE(MID(TRIM(Raw_Data!K480),4,2)),VALUE(LEFT(TRIM(Raw_Data!K480),2))),"CHECK"),Raw_Data!K480))</f>
        <v>46077</v>
      </c>
      <c r="L465" s="33" t="str">
        <f aca="false">IF(Raw_Data!L480="","",Raw_Data!L480)</f>
        <v>Sensitive case - details recorded separately by the focal point; not stored in this tracker.</v>
      </c>
      <c r="M465" s="34" t="n">
        <f aca="false">IF(OR(B465="",K465=""),"",IFERROR(K465-B465,"CHECK"))</f>
        <v>27</v>
      </c>
      <c r="N465" s="34" t="n">
        <f aca="false">IFERROR(INDEX(Reference_Lists!$H$13:$H$14,MATCH(G465,Reference_Lists!$G$13:$G$14,0)),"UNMATCHED")</f>
        <v>3</v>
      </c>
      <c r="O465" s="35" t="b">
        <f aca="false">IF(AND(J465="Closed",ISNUMBER(M465),ISNUMBER(N465),M465&gt;=0),M465&lt;=N465,"NOT ASSESSED")</f>
        <v>0</v>
      </c>
      <c r="P465" s="36" t="str">
        <f aca="false">Raw_Data!A480</f>
        <v>CFM-2026-0371</v>
      </c>
      <c r="Q465" s="37" t="str">
        <f aca="false">IFERROR(IF(OR($A465="",$P465=""),"MISSING ID",IF(EXACT($A465,$P465),"ALIGNED","MISMATCH")),"CHECK")</f>
        <v>ALIGNED</v>
      </c>
    </row>
    <row r="466" customFormat="false" ht="19.5" hidden="false" customHeight="true" outlineLevel="0" collapsed="false">
      <c r="A466" s="29" t="s">
        <v>594</v>
      </c>
      <c r="B466" s="30" t="n">
        <f aca="false">IF(Raw_Data!B481="","",IF(ISTEXT(Raw_Data!B481),IFERROR(DATE(VALUE(RIGHT(TRIM(Raw_Data!B481),4)),VALUE(MID(TRIM(Raw_Data!B481),4,2)),VALUE(LEFT(TRIM(Raw_Data!B481),2))),"CHECK"),Raw_Data!B481))</f>
        <v>46119</v>
      </c>
      <c r="C466" s="31" t="str">
        <f aca="false">IFERROR(INDEX(Reference_Lists!$C$23:$C$35,MATCH(PROPER(TRIM(Raw_Data!C481)),Reference_Lists!$B$23:$B$35,0)),"UNMATCHED")</f>
        <v>Community Focal Point</v>
      </c>
      <c r="D466" s="31" t="str">
        <f aca="false">IFERROR(INDEX(Reference_Lists!$C$36:$C$50,MATCH(PROPER(TRIM(Raw_Data!D481)),Reference_Lists!$B$36:$B$50,0)),"UNMATCHED")</f>
        <v>Gaza City</v>
      </c>
      <c r="E466" s="31" t="str">
        <f aca="false">IF(Raw_Data!E481="","",Raw_Data!E481)</f>
        <v>Shelter</v>
      </c>
      <c r="F466" s="31" t="str">
        <f aca="false">IF(Raw_Data!F481="","",Raw_Data!F481)</f>
        <v>Request for Information</v>
      </c>
      <c r="G466" s="32" t="str">
        <f aca="false">IF(Raw_Data!G481="","",Raw_Data!G481)</f>
        <v>Non-Sensitive</v>
      </c>
      <c r="H466" s="32" t="str">
        <f aca="false">IFERROR(INDEX(Reference_Lists!$C$51:$C$57,MATCH(PROPER(TRIM(Raw_Data!H481)),Reference_Lists!$B$51:$B$57,0)),"UNMATCHED")</f>
        <v>Female</v>
      </c>
      <c r="I466" s="32" t="str">
        <f aca="false">IF(Raw_Data!I481="","",Raw_Data!I481)</f>
        <v>30-44</v>
      </c>
      <c r="J466" s="32" t="str">
        <f aca="false">IFERROR(INDEX(Reference_Lists!$C$58:$C$65,MATCH(PROPER(TRIM(Raw_Data!J481)),Reference_Lists!$B$58:$B$65,0)),"UNMATCHED")</f>
        <v>Closed</v>
      </c>
      <c r="K466" s="30" t="n">
        <f aca="false">IF(Raw_Data!K481="","",IF(ISTEXT(Raw_Data!K481),IFERROR(DATE(VALUE(RIGHT(TRIM(Raw_Data!K481),4)),VALUE(MID(TRIM(Raw_Data!K481),4,2)),VALUE(LEFT(TRIM(Raw_Data!K481),2))),"CHECK"),Raw_Data!K481))</f>
        <v>46126</v>
      </c>
      <c r="L466" s="33" t="str">
        <f aca="false">IF(Raw_Data!L481="","",Raw_Data!L481)</f>
        <v>Requesting information about the criteria for shelter repair kits.</v>
      </c>
      <c r="M466" s="34" t="n">
        <f aca="false">IF(OR(B466="",K466=""),"",IFERROR(K466-B466,"CHECK"))</f>
        <v>7</v>
      </c>
      <c r="N466" s="34" t="n">
        <f aca="false">IFERROR(INDEX(Reference_Lists!$H$13:$H$14,MATCH(G466,Reference_Lists!$G$13:$G$14,0)),"UNMATCHED")</f>
        <v>15</v>
      </c>
      <c r="O466" s="35" t="b">
        <f aca="false">IF(AND(J466="Closed",ISNUMBER(M466),ISNUMBER(N466),M466&gt;=0),M466&lt;=N466,"NOT ASSESSED")</f>
        <v>1</v>
      </c>
      <c r="P466" s="36" t="str">
        <f aca="false">Raw_Data!A481</f>
        <v>CFM-2026-0497</v>
      </c>
      <c r="Q466" s="37" t="str">
        <f aca="false">IFERROR(IF(OR($A466="",$P466=""),"MISSING ID",IF(EXACT($A466,$P466),"ALIGNED","MISMATCH")),"CHECK")</f>
        <v>ALIGNED</v>
      </c>
    </row>
    <row r="467" customFormat="false" ht="19.5" hidden="false" customHeight="true" outlineLevel="0" collapsed="false">
      <c r="A467" s="29" t="s">
        <v>595</v>
      </c>
      <c r="B467" s="30" t="n">
        <f aca="false">IF(Raw_Data!B482="","",IF(ISTEXT(Raw_Data!B482),IFERROR(DATE(VALUE(RIGHT(TRIM(Raw_Data!B482),4)),VALUE(MID(TRIM(Raw_Data!B482),4,2)),VALUE(LEFT(TRIM(Raw_Data!B482),2))),"CHECK"),Raw_Data!B482))</f>
        <v>46088</v>
      </c>
      <c r="C467" s="31" t="str">
        <f aca="false">IFERROR(INDEX(Reference_Lists!$C$23:$C$35,MATCH(PROPER(TRIM(Raw_Data!C482)),Reference_Lists!$B$23:$B$35,0)),"UNMATCHED")</f>
        <v>Phone Hotline</v>
      </c>
      <c r="D467" s="31" t="str">
        <f aca="false">IFERROR(INDEX(Reference_Lists!$C$36:$C$50,MATCH(PROPER(TRIM(Raw_Data!D482)),Reference_Lists!$B$36:$B$50,0)),"UNMATCHED")</f>
        <v>Rafah</v>
      </c>
      <c r="E467" s="31" t="str">
        <f aca="false">IF(Raw_Data!E482="","",Raw_Data!E482)</f>
        <v>WASH</v>
      </c>
      <c r="F467" s="31" t="str">
        <f aca="false">IF(Raw_Data!F482="","",Raw_Data!F482)</f>
        <v>Suggestion</v>
      </c>
      <c r="G467" s="32" t="str">
        <f aca="false">IF(Raw_Data!G482="","",Raw_Data!G482)</f>
        <v>Non-Sensitive</v>
      </c>
      <c r="H467" s="32" t="str">
        <f aca="false">IFERROR(INDEX(Reference_Lists!$C$51:$C$57,MATCH(PROPER(TRIM(Raw_Data!H482)),Reference_Lists!$B$51:$B$57,0)),"UNMATCHED")</f>
        <v>Female</v>
      </c>
      <c r="I467" s="32" t="str">
        <f aca="false">IF(Raw_Data!I482="","",Raw_Data!I482)</f>
        <v>45-59</v>
      </c>
      <c r="J467" s="32" t="str">
        <f aca="false">IFERROR(INDEX(Reference_Lists!$C$58:$C$65,MATCH(PROPER(TRIM(Raw_Data!J482)),Reference_Lists!$B$58:$B$65,0)),"UNMATCHED")</f>
        <v>Closed</v>
      </c>
      <c r="K467" s="30" t="n">
        <f aca="false">IF(Raw_Data!K482="","",IF(ISTEXT(Raw_Data!K482),IFERROR(DATE(VALUE(RIGHT(TRIM(Raw_Data!K482),4)),VALUE(MID(TRIM(Raw_Data!K482),4,2)),VALUE(LEFT(TRIM(Raw_Data!K482),2))),"CHECK"),Raw_Data!K482))</f>
        <v>46090</v>
      </c>
      <c r="L467" s="33" t="str">
        <f aca="false">IF(Raw_Data!L482="","",Raw_Data!L482)</f>
        <v>Requesting additional jerrycans for a shared shelter of four families.</v>
      </c>
      <c r="M467" s="34" t="n">
        <f aca="false">IF(OR(B467="",K467=""),"",IFERROR(K467-B467,"CHECK"))</f>
        <v>2</v>
      </c>
      <c r="N467" s="34" t="n">
        <f aca="false">IFERROR(INDEX(Reference_Lists!$H$13:$H$14,MATCH(G467,Reference_Lists!$G$13:$G$14,0)),"UNMATCHED")</f>
        <v>15</v>
      </c>
      <c r="O467" s="35" t="b">
        <f aca="false">IF(AND(J467="Closed",ISNUMBER(M467),ISNUMBER(N467),M467&gt;=0),M467&lt;=N467,"NOT ASSESSED")</f>
        <v>1</v>
      </c>
      <c r="P467" s="36" t="str">
        <f aca="false">Raw_Data!A482</f>
        <v>CFM-2026-0349</v>
      </c>
      <c r="Q467" s="37" t="str">
        <f aca="false">IFERROR(IF(OR($A467="",$P467=""),"MISSING ID",IF(EXACT($A467,$P467),"ALIGNED","MISMATCH")),"CHECK")</f>
        <v>ALIGNED</v>
      </c>
    </row>
    <row r="468" customFormat="false" ht="19.5" hidden="false" customHeight="true" outlineLevel="0" collapsed="false">
      <c r="A468" s="29" t="s">
        <v>596</v>
      </c>
      <c r="B468" s="30" t="n">
        <f aca="false">IF(Raw_Data!B483="","",IF(ISTEXT(Raw_Data!B483),IFERROR(DATE(VALUE(RIGHT(TRIM(Raw_Data!B483),4)),VALUE(MID(TRIM(Raw_Data!B483),4,2)),VALUE(LEFT(TRIM(Raw_Data!B483),2))),"CHECK"),Raw_Data!B483))</f>
        <v>46072</v>
      </c>
      <c r="C468" s="31" t="str">
        <f aca="false">IFERROR(INDEX(Reference_Lists!$C$23:$C$35,MATCH(PROPER(TRIM(Raw_Data!C483)),Reference_Lists!$B$23:$B$35,0)),"UNMATCHED")</f>
        <v>In-Person at Distribution</v>
      </c>
      <c r="D468" s="31" t="str">
        <f aca="false">IFERROR(INDEX(Reference_Lists!$C$36:$C$50,MATCH(PROPER(TRIM(Raw_Data!D483)),Reference_Lists!$B$36:$B$50,0)),"UNMATCHED")</f>
        <v>Nuseirat</v>
      </c>
      <c r="E468" s="31" t="str">
        <f aca="false">IF(Raw_Data!E483="","",Raw_Data!E483)</f>
        <v>Nutrition</v>
      </c>
      <c r="F468" s="31" t="str">
        <f aca="false">IF(Raw_Data!F483="","",Raw_Data!F483)</f>
        <v>Complaint</v>
      </c>
      <c r="G468" s="32" t="str">
        <f aca="false">IF(Raw_Data!G483="","",Raw_Data!G483)</f>
        <v>Non-Sensitive</v>
      </c>
      <c r="H468" s="32" t="str">
        <f aca="false">IFERROR(INDEX(Reference_Lists!$C$51:$C$57,MATCH(PROPER(TRIM(Raw_Data!H483)),Reference_Lists!$B$51:$B$57,0)),"UNMATCHED")</f>
        <v>Male</v>
      </c>
      <c r="I468" s="32" t="str">
        <f aca="false">IF(Raw_Data!I483="","",Raw_Data!I483)</f>
        <v>18-29</v>
      </c>
      <c r="J468" s="32" t="str">
        <f aca="false">IFERROR(INDEX(Reference_Lists!$C$58:$C$65,MATCH(PROPER(TRIM(Raw_Data!J483)),Reference_Lists!$B$58:$B$65,0)),"UNMATCHED")</f>
        <v>Closed</v>
      </c>
      <c r="K468" s="30" t="n">
        <f aca="false">IF(Raw_Data!K483="","",IF(ISTEXT(Raw_Data!K483),IFERROR(DATE(VALUE(RIGHT(TRIM(Raw_Data!K483),4)),VALUE(MID(TRIM(Raw_Data!K483),4,2)),VALUE(LEFT(TRIM(Raw_Data!K483),2))),"CHECK"),Raw_Data!K483))</f>
        <v>46081</v>
      </c>
      <c r="L468" s="33" t="str">
        <f aca="false">IF(Raw_Data!L483="","",Raw_Data!L483)</f>
        <v>Requesting a screening session closer to the northern shelter.</v>
      </c>
      <c r="M468" s="34" t="n">
        <f aca="false">IF(OR(B468="",K468=""),"",IFERROR(K468-B468,"CHECK"))</f>
        <v>9</v>
      </c>
      <c r="N468" s="34" t="n">
        <f aca="false">IFERROR(INDEX(Reference_Lists!$H$13:$H$14,MATCH(G468,Reference_Lists!$G$13:$G$14,0)),"UNMATCHED")</f>
        <v>15</v>
      </c>
      <c r="O468" s="35" t="b">
        <f aca="false">IF(AND(J468="Closed",ISNUMBER(M468),ISNUMBER(N468),M468&gt;=0),M468&lt;=N468,"NOT ASSESSED")</f>
        <v>1</v>
      </c>
      <c r="P468" s="36" t="str">
        <f aca="false">Raw_Data!A483</f>
        <v>CFM-2026-0043</v>
      </c>
      <c r="Q468" s="37" t="str">
        <f aca="false">IFERROR(IF(OR($A468="",$P468=""),"MISSING ID",IF(EXACT($A468,$P468),"ALIGNED","MISMATCH")),"CHECK")</f>
        <v>ALIGNED</v>
      </c>
    </row>
    <row r="469" customFormat="false" ht="19.5" hidden="false" customHeight="true" outlineLevel="0" collapsed="false">
      <c r="A469" s="29" t="s">
        <v>597</v>
      </c>
      <c r="B469" s="30" t="n">
        <f aca="false">IF(Raw_Data!B485="","",IF(ISTEXT(Raw_Data!B485),IFERROR(DATE(VALUE(RIGHT(TRIM(Raw_Data!B485),4)),VALUE(MID(TRIM(Raw_Data!B485),4,2)),VALUE(LEFT(TRIM(Raw_Data!B485),2))),"CHECK"),Raw_Data!B485))</f>
        <v>46197</v>
      </c>
      <c r="C469" s="31" t="str">
        <f aca="false">IFERROR(INDEX(Reference_Lists!$C$23:$C$35,MATCH(PROPER(TRIM(Raw_Data!C485)),Reference_Lists!$B$23:$B$35,0)),"UNMATCHED")</f>
        <v>In-Person at Distribution</v>
      </c>
      <c r="D469" s="31" t="str">
        <f aca="false">IFERROR(INDEX(Reference_Lists!$C$36:$C$50,MATCH(PROPER(TRIM(Raw_Data!D485)),Reference_Lists!$B$36:$B$50,0)),"UNMATCHED")</f>
        <v>Khan Yunis</v>
      </c>
      <c r="E469" s="31" t="str">
        <f aca="false">IF(Raw_Data!E485="","",Raw_Data!E485)</f>
        <v>Shelter</v>
      </c>
      <c r="F469" s="31" t="str">
        <f aca="false">IF(Raw_Data!F485="","",Raw_Data!F485)</f>
        <v>Request for Information</v>
      </c>
      <c r="G469" s="32" t="str">
        <f aca="false">IF(Raw_Data!G485="","",Raw_Data!G485)</f>
        <v>Non-Sensitive</v>
      </c>
      <c r="H469" s="32" t="str">
        <f aca="false">IFERROR(INDEX(Reference_Lists!$C$51:$C$57,MATCH(PROPER(TRIM(Raw_Data!H485)),Reference_Lists!$B$51:$B$57,0)),"UNMATCHED")</f>
        <v>Female</v>
      </c>
      <c r="I469" s="32" t="str">
        <f aca="false">IF(Raw_Data!I485="","",Raw_Data!I485)</f>
        <v/>
      </c>
      <c r="J469" s="32" t="str">
        <f aca="false">IFERROR(INDEX(Reference_Lists!$C$58:$C$65,MATCH(PROPER(TRIM(Raw_Data!J485)),Reference_Lists!$B$58:$B$65,0)),"UNMATCHED")</f>
        <v>Closed</v>
      </c>
      <c r="K469" s="30" t="n">
        <f aca="false">IF(Raw_Data!K485="","",IF(ISTEXT(Raw_Data!K485),IFERROR(DATE(VALUE(RIGHT(TRIM(Raw_Data!K485),4)),VALUE(MID(TRIM(Raw_Data!K485),4,2)),VALUE(LEFT(TRIM(Raw_Data!K485),2))),"CHECK"),Raw_Data!K485))</f>
        <v>46203</v>
      </c>
      <c r="L469" s="33" t="str">
        <f aca="false">IF(Raw_Data!L485="","",Raw_Data!L485)</f>
        <v>Shelter kit delivered on time and the team explained the use clearly.</v>
      </c>
      <c r="M469" s="34" t="n">
        <f aca="false">IF(OR(B469="",K469=""),"",IFERROR(K469-B469,"CHECK"))</f>
        <v>6</v>
      </c>
      <c r="N469" s="34" t="n">
        <f aca="false">IFERROR(INDEX(Reference_Lists!$H$13:$H$14,MATCH(G469,Reference_Lists!$G$13:$G$14,0)),"UNMATCHED")</f>
        <v>15</v>
      </c>
      <c r="O469" s="35" t="b">
        <f aca="false">IF(AND(J469="Closed",ISNUMBER(M469),ISNUMBER(N469),M469&gt;=0),M469&lt;=N469,"NOT ASSESSED")</f>
        <v>1</v>
      </c>
      <c r="P469" s="36" t="str">
        <f aca="false">Raw_Data!A485</f>
        <v>CFM-2026-0428</v>
      </c>
      <c r="Q469" s="37" t="str">
        <f aca="false">IFERROR(IF(OR($A469="",$P469=""),"MISSING ID",IF(EXACT($A469,$P469),"ALIGNED","MISMATCH")),"CHECK")</f>
        <v>ALIGNED</v>
      </c>
    </row>
    <row r="470" customFormat="false" ht="19.5" hidden="false" customHeight="true" outlineLevel="0" collapsed="false">
      <c r="A470" s="29" t="s">
        <v>598</v>
      </c>
      <c r="B470" s="30" t="n">
        <f aca="false">IF(Raw_Data!B486="","",IF(ISTEXT(Raw_Data!B486),IFERROR(DATE(VALUE(RIGHT(TRIM(Raw_Data!B486),4)),VALUE(MID(TRIM(Raw_Data!B486),4,2)),VALUE(LEFT(TRIM(Raw_Data!B486),2))),"CHECK"),Raw_Data!B486))</f>
        <v>46122</v>
      </c>
      <c r="C470" s="31" t="str">
        <f aca="false">IFERROR(INDEX(Reference_Lists!$C$23:$C$35,MATCH(PROPER(TRIM(Raw_Data!C486)),Reference_Lists!$B$23:$B$35,0)),"UNMATCHED")</f>
        <v>In-Person at Distribution</v>
      </c>
      <c r="D470" s="31" t="str">
        <f aca="false">IFERROR(INDEX(Reference_Lists!$C$36:$C$50,MATCH(PROPER(TRIM(Raw_Data!D486)),Reference_Lists!$B$36:$B$50,0)),"UNMATCHED")</f>
        <v>Nuseirat</v>
      </c>
      <c r="E470" s="31" t="str">
        <f aca="false">IF(Raw_Data!E486="","",Raw_Data!E486)</f>
        <v>WASH</v>
      </c>
      <c r="F470" s="31" t="str">
        <f aca="false">IF(Raw_Data!F486="","",Raw_Data!F486)</f>
        <v>Suggestion</v>
      </c>
      <c r="G470" s="32" t="str">
        <f aca="false">IF(Raw_Data!G486="","",Raw_Data!G486)</f>
        <v>Non-Sensitive</v>
      </c>
      <c r="H470" s="32" t="str">
        <f aca="false">IFERROR(INDEX(Reference_Lists!$C$51:$C$57,MATCH(PROPER(TRIM(Raw_Data!H486)),Reference_Lists!$B$51:$B$57,0)),"UNMATCHED")</f>
        <v>Female</v>
      </c>
      <c r="I470" s="32" t="str">
        <f aca="false">IF(Raw_Data!I486="","",Raw_Data!I486)</f>
        <v/>
      </c>
      <c r="J470" s="32" t="str">
        <f aca="false">IFERROR(INDEX(Reference_Lists!$C$58:$C$65,MATCH(PROPER(TRIM(Raw_Data!J486)),Reference_Lists!$B$58:$B$65,0)),"UNMATCHED")</f>
        <v>Closed</v>
      </c>
      <c r="K470" s="30" t="n">
        <f aca="false">IF(Raw_Data!K486="","",IF(ISTEXT(Raw_Data!K486),IFERROR(DATE(VALUE(RIGHT(TRIM(Raw_Data!K486),4)),VALUE(MID(TRIM(Raw_Data!K486),4,2)),VALUE(LEFT(TRIM(Raw_Data!K486),2))),"CHECK"),Raw_Data!K486))</f>
        <v>46127</v>
      </c>
      <c r="L470" s="33" t="str">
        <f aca="false">IF(Raw_Data!L486="","",Raw_Data!L486)</f>
        <v>The queue at the water point is not organised and older people cannot wait.</v>
      </c>
      <c r="M470" s="34" t="n">
        <f aca="false">IF(OR(B470="",K470=""),"",IFERROR(K470-B470,"CHECK"))</f>
        <v>5</v>
      </c>
      <c r="N470" s="34" t="n">
        <f aca="false">IFERROR(INDEX(Reference_Lists!$H$13:$H$14,MATCH(G470,Reference_Lists!$G$13:$G$14,0)),"UNMATCHED")</f>
        <v>15</v>
      </c>
      <c r="O470" s="35" t="b">
        <f aca="false">IF(AND(J470="Closed",ISNUMBER(M470),ISNUMBER(N470),M470&gt;=0),M470&lt;=N470,"NOT ASSESSED")</f>
        <v>1</v>
      </c>
      <c r="P470" s="36" t="str">
        <f aca="false">Raw_Data!A486</f>
        <v>CFM-2026-0287</v>
      </c>
      <c r="Q470" s="37" t="str">
        <f aca="false">IFERROR(IF(OR($A470="",$P470=""),"MISSING ID",IF(EXACT($A470,$P470),"ALIGNED","MISMATCH")),"CHECK")</f>
        <v>ALIGNED</v>
      </c>
    </row>
    <row r="471" customFormat="false" ht="19.5" hidden="false" customHeight="true" outlineLevel="0" collapsed="false">
      <c r="A471" s="29" t="s">
        <v>599</v>
      </c>
      <c r="B471" s="30" t="n">
        <f aca="false">IF(Raw_Data!B487="","",IF(ISTEXT(Raw_Data!B487),IFERROR(DATE(VALUE(RIGHT(TRIM(Raw_Data!B487),4)),VALUE(MID(TRIM(Raw_Data!B487),4,2)),VALUE(LEFT(TRIM(Raw_Data!B487),2))),"CHECK"),Raw_Data!B487))</f>
        <v>46156</v>
      </c>
      <c r="C471" s="31" t="str">
        <f aca="false">IFERROR(INDEX(Reference_Lists!$C$23:$C$35,MATCH(PROPER(TRIM(Raw_Data!C487)),Reference_Lists!$B$23:$B$35,0)),"UNMATCHED")</f>
        <v>In-Person at Distribution</v>
      </c>
      <c r="D471" s="31" t="str">
        <f aca="false">IFERROR(INDEX(Reference_Lists!$C$36:$C$50,MATCH(PROPER(TRIM(Raw_Data!D487)),Reference_Lists!$B$36:$B$50,0)),"UNMATCHED")</f>
        <v>Rafah</v>
      </c>
      <c r="E471" s="31" t="str">
        <f aca="false">IF(Raw_Data!E487="","",Raw_Data!E487)</f>
        <v>WASH</v>
      </c>
      <c r="F471" s="31" t="str">
        <f aca="false">IF(Raw_Data!F487="","",Raw_Data!F487)</f>
        <v>Complaint</v>
      </c>
      <c r="G471" s="32" t="str">
        <f aca="false">IF(Raw_Data!G487="","",Raw_Data!G487)</f>
        <v>Non-Sensitive</v>
      </c>
      <c r="H471" s="32" t="str">
        <f aca="false">IFERROR(INDEX(Reference_Lists!$C$51:$C$57,MATCH(PROPER(TRIM(Raw_Data!H487)),Reference_Lists!$B$51:$B$57,0)),"UNMATCHED")</f>
        <v>Female</v>
      </c>
      <c r="I471" s="32" t="str">
        <f aca="false">IF(Raw_Data!I487="","",Raw_Data!I487)</f>
        <v>18-29</v>
      </c>
      <c r="J471" s="32" t="str">
        <f aca="false">IFERROR(INDEX(Reference_Lists!$C$58:$C$65,MATCH(PROPER(TRIM(Raw_Data!J487)),Reference_Lists!$B$58:$B$65,0)),"UNMATCHED")</f>
        <v>In Progress</v>
      </c>
      <c r="K471" s="30" t="str">
        <f aca="false">IF(Raw_Data!K487="","",IF(ISTEXT(Raw_Data!K487),IFERROR(DATE(VALUE(RIGHT(TRIM(Raw_Data!K487),4)),VALUE(MID(TRIM(Raw_Data!K487),4,2)),VALUE(LEFT(TRIM(Raw_Data!K487),2))),"CHECK"),Raw_Data!K487))</f>
        <v/>
      </c>
      <c r="L471" s="33" t="str">
        <f aca="false">IF(Raw_Data!L487="","",Raw_Data!L487)</f>
        <v>Latrine at the site block needs cleaning and lighting at night.</v>
      </c>
      <c r="M471" s="34" t="str">
        <f aca="false">IF(OR(B471="",K471=""),"",IFERROR(K471-B471,"CHECK"))</f>
        <v/>
      </c>
      <c r="N471" s="34" t="n">
        <f aca="false">IFERROR(INDEX(Reference_Lists!$H$13:$H$14,MATCH(G471,Reference_Lists!$G$13:$G$14,0)),"UNMATCHED")</f>
        <v>15</v>
      </c>
      <c r="O471" s="32" t="str">
        <f aca="false">IF(AND(J471="Closed",ISNUMBER(M471),ISNUMBER(N471),M471&gt;=0),M471&lt;=N471,"NOT ASSESSED")</f>
        <v>NOT ASSESSED</v>
      </c>
      <c r="P471" s="36" t="str">
        <f aca="false">Raw_Data!A487</f>
        <v>CFM-2026-0432</v>
      </c>
      <c r="Q471" s="37" t="str">
        <f aca="false">IFERROR(IF(OR($A471="",$P471=""),"MISSING ID",IF(EXACT($A471,$P471),"ALIGNED","MISMATCH")),"CHECK")</f>
        <v>ALIGNED</v>
      </c>
    </row>
    <row r="472" customFormat="false" ht="19.5" hidden="false" customHeight="true" outlineLevel="0" collapsed="false">
      <c r="A472" s="29" t="s">
        <v>600</v>
      </c>
      <c r="B472" s="30" t="n">
        <f aca="false">IF(Raw_Data!B488="","",IF(ISTEXT(Raw_Data!B488),IFERROR(DATE(VALUE(RIGHT(TRIM(Raw_Data!B488),4)),VALUE(MID(TRIM(Raw_Data!B488),4,2)),VALUE(LEFT(TRIM(Raw_Data!B488),2))),"CHECK"),Raw_Data!B488))</f>
        <v>46115</v>
      </c>
      <c r="C472" s="31" t="str">
        <f aca="false">IFERROR(INDEX(Reference_Lists!$C$23:$C$35,MATCH(PROPER(TRIM(Raw_Data!C488)),Reference_Lists!$B$23:$B$35,0)),"UNMATCHED")</f>
        <v>Suggestion Box</v>
      </c>
      <c r="D472" s="31" t="str">
        <f aca="false">IFERROR(INDEX(Reference_Lists!$C$36:$C$50,MATCH(PROPER(TRIM(Raw_Data!D488)),Reference_Lists!$B$36:$B$50,0)),"UNMATCHED")</f>
        <v>Jabalia</v>
      </c>
      <c r="E472" s="31" t="str">
        <f aca="false">IF(Raw_Data!E488="","",Raw_Data!E488)</f>
        <v>Shelter</v>
      </c>
      <c r="F472" s="31" t="str">
        <f aca="false">IF(Raw_Data!F488="","",Raw_Data!F488)</f>
        <v>Appreciation</v>
      </c>
      <c r="G472" s="32" t="str">
        <f aca="false">IF(Raw_Data!G488="","",Raw_Data!G488)</f>
        <v>Non-Sensitive</v>
      </c>
      <c r="H472" s="32" t="str">
        <f aca="false">IFERROR(INDEX(Reference_Lists!$C$51:$C$57,MATCH(PROPER(TRIM(Raw_Data!H488)),Reference_Lists!$B$51:$B$57,0)),"UNMATCHED")</f>
        <v>Female</v>
      </c>
      <c r="I472" s="32" t="str">
        <f aca="false">IF(Raw_Data!I488="","",Raw_Data!I488)</f>
        <v>45-59</v>
      </c>
      <c r="J472" s="32" t="str">
        <f aca="false">IFERROR(INDEX(Reference_Lists!$C$58:$C$65,MATCH(PROPER(TRIM(Raw_Data!J488)),Reference_Lists!$B$58:$B$65,0)),"UNMATCHED")</f>
        <v>Closed</v>
      </c>
      <c r="K472" s="30" t="n">
        <f aca="false">IF(Raw_Data!K488="","",IF(ISTEXT(Raw_Data!K488),IFERROR(DATE(VALUE(RIGHT(TRIM(Raw_Data!K488),4)),VALUE(MID(TRIM(Raw_Data!K488),4,2)),VALUE(LEFT(TRIM(Raw_Data!K488),2))),"CHECK"),Raw_Data!K488))</f>
        <v>46119</v>
      </c>
      <c r="L472" s="33" t="str">
        <f aca="false">IF(Raw_Data!L488="","",Raw_Data!L488)</f>
        <v>Shelter kit delivered on time and the team explained the use clearly.</v>
      </c>
      <c r="M472" s="34" t="n">
        <f aca="false">IF(OR(B472="",K472=""),"",IFERROR(K472-B472,"CHECK"))</f>
        <v>4</v>
      </c>
      <c r="N472" s="34" t="n">
        <f aca="false">IFERROR(INDEX(Reference_Lists!$H$13:$H$14,MATCH(G472,Reference_Lists!$G$13:$G$14,0)),"UNMATCHED")</f>
        <v>15</v>
      </c>
      <c r="O472" s="35" t="b">
        <f aca="false">IF(AND(J472="Closed",ISNUMBER(M472),ISNUMBER(N472),M472&gt;=0),M472&lt;=N472,"NOT ASSESSED")</f>
        <v>1</v>
      </c>
      <c r="P472" s="36" t="str">
        <f aca="false">Raw_Data!A488</f>
        <v>CFM-2026-0382</v>
      </c>
      <c r="Q472" s="37" t="str">
        <f aca="false">IFERROR(IF(OR($A472="",$P472=""),"MISSING ID",IF(EXACT($A472,$P472),"ALIGNED","MISMATCH")),"CHECK")</f>
        <v>ALIGNED</v>
      </c>
    </row>
    <row r="473" customFormat="false" ht="19.5" hidden="false" customHeight="true" outlineLevel="0" collapsed="false">
      <c r="A473" s="29" t="s">
        <v>601</v>
      </c>
      <c r="B473" s="30" t="n">
        <f aca="false">IF(Raw_Data!B489="","",IF(ISTEXT(Raw_Data!B489),IFERROR(DATE(VALUE(RIGHT(TRIM(Raw_Data!B489),4)),VALUE(MID(TRIM(Raw_Data!B489),4,2)),VALUE(LEFT(TRIM(Raw_Data!B489),2))),"CHECK"),Raw_Data!B489))</f>
        <v>46197</v>
      </c>
      <c r="C473" s="31" t="str">
        <f aca="false">IFERROR(INDEX(Reference_Lists!$C$23:$C$35,MATCH(PROPER(TRIM(Raw_Data!C489)),Reference_Lists!$B$23:$B$35,0)),"UNMATCHED")</f>
        <v>Phone Hotline</v>
      </c>
      <c r="D473" s="31" t="str">
        <f aca="false">IFERROR(INDEX(Reference_Lists!$C$36:$C$50,MATCH(PROPER(TRIM(Raw_Data!D489)),Reference_Lists!$B$36:$B$50,0)),"UNMATCHED")</f>
        <v>Deir al-Balah</v>
      </c>
      <c r="E473" s="31" t="str">
        <f aca="false">IF(Raw_Data!E489="","",Raw_Data!E489)</f>
        <v>WASH</v>
      </c>
      <c r="F473" s="31" t="str">
        <f aca="false">IF(Raw_Data!F489="","",Raw_Data!F489)</f>
        <v>Complaint</v>
      </c>
      <c r="G473" s="32" t="str">
        <f aca="false">IF(Raw_Data!G489="","",Raw_Data!G489)</f>
        <v>Non-Sensitive</v>
      </c>
      <c r="H473" s="32" t="str">
        <f aca="false">IFERROR(INDEX(Reference_Lists!$C$51:$C$57,MATCH(PROPER(TRIM(Raw_Data!H489)),Reference_Lists!$B$51:$B$57,0)),"UNMATCHED")</f>
        <v>Female</v>
      </c>
      <c r="I473" s="32" t="str">
        <f aca="false">IF(Raw_Data!I489="","",Raw_Data!I489)</f>
        <v>45-59</v>
      </c>
      <c r="J473" s="32" t="str">
        <f aca="false">IFERROR(INDEX(Reference_Lists!$C$58:$C$65,MATCH(PROPER(TRIM(Raw_Data!J489)),Reference_Lists!$B$58:$B$65,0)),"UNMATCHED")</f>
        <v>Closed</v>
      </c>
      <c r="K473" s="30" t="n">
        <f aca="false">IF(Raw_Data!K489="","",IF(ISTEXT(Raw_Data!K489),IFERROR(DATE(VALUE(RIGHT(TRIM(Raw_Data!K489),4)),VALUE(MID(TRIM(Raw_Data!K489),4,2)),VALUE(LEFT(TRIM(Raw_Data!K489),2))),"CHECK"),Raw_Data!K489))</f>
        <v>46199</v>
      </c>
      <c r="L473" s="33" t="str">
        <f aca="false">IF(Raw_Data!L489="","",Raw_Data!L489)</f>
        <v>Requesting additional jerrycans for a shared shelter of four families.</v>
      </c>
      <c r="M473" s="34" t="n">
        <f aca="false">IF(OR(B473="",K473=""),"",IFERROR(K473-B473,"CHECK"))</f>
        <v>2</v>
      </c>
      <c r="N473" s="34" t="n">
        <f aca="false">IFERROR(INDEX(Reference_Lists!$H$13:$H$14,MATCH(G473,Reference_Lists!$G$13:$G$14,0)),"UNMATCHED")</f>
        <v>15</v>
      </c>
      <c r="O473" s="35" t="b">
        <f aca="false">IF(AND(J473="Closed",ISNUMBER(M473),ISNUMBER(N473),M473&gt;=0),M473&lt;=N473,"NOT ASSESSED")</f>
        <v>1</v>
      </c>
      <c r="P473" s="36" t="str">
        <f aca="false">Raw_Data!A489</f>
        <v>CFM-2026-0174</v>
      </c>
      <c r="Q473" s="37" t="str">
        <f aca="false">IFERROR(IF(OR($A473="",$P473=""),"MISSING ID",IF(EXACT($A473,$P473),"ALIGNED","MISMATCH")),"CHECK")</f>
        <v>ALIGNED</v>
      </c>
    </row>
    <row r="474" customFormat="false" ht="19.5" hidden="false" customHeight="true" outlineLevel="0" collapsed="false">
      <c r="A474" s="29" t="s">
        <v>602</v>
      </c>
      <c r="B474" s="30" t="n">
        <f aca="false">IF(Raw_Data!B490="","",IF(ISTEXT(Raw_Data!B490),IFERROR(DATE(VALUE(RIGHT(TRIM(Raw_Data!B490),4)),VALUE(MID(TRIM(Raw_Data!B490),4,2)),VALUE(LEFT(TRIM(Raw_Data!B490),2))),"CHECK"),Raw_Data!B490))</f>
        <v>46126</v>
      </c>
      <c r="C474" s="31" t="str">
        <f aca="false">IFERROR(INDEX(Reference_Lists!$C$23:$C$35,MATCH(PROPER(TRIM(Raw_Data!C490)),Reference_Lists!$B$23:$B$35,0)),"UNMATCHED")</f>
        <v>Suggestion Box</v>
      </c>
      <c r="D474" s="31" t="str">
        <f aca="false">IFERROR(INDEX(Reference_Lists!$C$36:$C$50,MATCH(PROPER(TRIM(Raw_Data!D490)),Reference_Lists!$B$36:$B$50,0)),"UNMATCHED")</f>
        <v>Nuseirat</v>
      </c>
      <c r="E474" s="31" t="str">
        <f aca="false">IF(Raw_Data!E490="","",Raw_Data!E490)</f>
        <v>Shelter</v>
      </c>
      <c r="F474" s="31" t="str">
        <f aca="false">IF(Raw_Data!F490="","",Raw_Data!F490)</f>
        <v>Suggestion</v>
      </c>
      <c r="G474" s="32" t="str">
        <f aca="false">IF(Raw_Data!G490="","",Raw_Data!G490)</f>
        <v>Non-Sensitive</v>
      </c>
      <c r="H474" s="32" t="str">
        <f aca="false">IFERROR(INDEX(Reference_Lists!$C$51:$C$57,MATCH(PROPER(TRIM(Raw_Data!H490)),Reference_Lists!$B$51:$B$57,0)),"UNMATCHED")</f>
        <v>Female</v>
      </c>
      <c r="I474" s="32" t="str">
        <f aca="false">IF(Raw_Data!I490="","",Raw_Data!I490)</f>
        <v>18-29</v>
      </c>
      <c r="J474" s="32" t="str">
        <f aca="false">IFERROR(INDEX(Reference_Lists!$C$58:$C$65,MATCH(PROPER(TRIM(Raw_Data!J490)),Reference_Lists!$B$58:$B$65,0)),"UNMATCHED")</f>
        <v>Closed</v>
      </c>
      <c r="K474" s="30" t="n">
        <f aca="false">IF(Raw_Data!K490="","",IF(ISTEXT(Raw_Data!K490),IFERROR(DATE(VALUE(RIGHT(TRIM(Raw_Data!K490),4)),VALUE(MID(TRIM(Raw_Data!K490),4,2)),VALUE(LEFT(TRIM(Raw_Data!K490),2))),"CHECK"),Raw_Data!K490))</f>
        <v>46137</v>
      </c>
      <c r="L474" s="33" t="str">
        <f aca="false">IF(Raw_Data!L490="","",Raw_Data!L490)</f>
        <v>Requesting information about the criteria for shelter repair kits.</v>
      </c>
      <c r="M474" s="34" t="n">
        <f aca="false">IF(OR(B474="",K474=""),"",IFERROR(K474-B474,"CHECK"))</f>
        <v>11</v>
      </c>
      <c r="N474" s="34" t="n">
        <f aca="false">IFERROR(INDEX(Reference_Lists!$H$13:$H$14,MATCH(G474,Reference_Lists!$G$13:$G$14,0)),"UNMATCHED")</f>
        <v>15</v>
      </c>
      <c r="O474" s="35" t="b">
        <f aca="false">IF(AND(J474="Closed",ISNUMBER(M474),ISNUMBER(N474),M474&gt;=0),M474&lt;=N474,"NOT ASSESSED")</f>
        <v>1</v>
      </c>
      <c r="P474" s="36" t="str">
        <f aca="false">Raw_Data!A490</f>
        <v>CFM-2026-0412</v>
      </c>
      <c r="Q474" s="37" t="str">
        <f aca="false">IFERROR(IF(OR($A474="",$P474=""),"MISSING ID",IF(EXACT($A474,$P474),"ALIGNED","MISMATCH")),"CHECK")</f>
        <v>ALIGNED</v>
      </c>
    </row>
    <row r="475" customFormat="false" ht="19.5" hidden="false" customHeight="true" outlineLevel="0" collapsed="false">
      <c r="A475" s="29" t="s">
        <v>603</v>
      </c>
      <c r="B475" s="30" t="n">
        <f aca="false">IF(Raw_Data!B491="","",IF(ISTEXT(Raw_Data!B491),IFERROR(DATE(VALUE(RIGHT(TRIM(Raw_Data!B491),4)),VALUE(MID(TRIM(Raw_Data!B491),4,2)),VALUE(LEFT(TRIM(Raw_Data!B491),2))),"CHECK"),Raw_Data!B491))</f>
        <v>46206</v>
      </c>
      <c r="C475" s="31" t="str">
        <f aca="false">IFERROR(INDEX(Reference_Lists!$C$23:$C$35,MATCH(PROPER(TRIM(Raw_Data!C491)),Reference_Lists!$B$23:$B$35,0)),"UNMATCHED")</f>
        <v>Phone Hotline</v>
      </c>
      <c r="D475" s="31" t="str">
        <f aca="false">IFERROR(INDEX(Reference_Lists!$C$36:$C$50,MATCH(PROPER(TRIM(Raw_Data!D491)),Reference_Lists!$B$36:$B$50,0)),"UNMATCHED")</f>
        <v>Khan Yunis</v>
      </c>
      <c r="E475" s="31" t="str">
        <f aca="false">IF(Raw_Data!E491="","",Raw_Data!E491)</f>
        <v>Health</v>
      </c>
      <c r="F475" s="31" t="str">
        <f aca="false">IF(Raw_Data!F491="","",Raw_Data!F491)</f>
        <v>Complaint</v>
      </c>
      <c r="G475" s="32" t="str">
        <f aca="false">IF(Raw_Data!G491="","",Raw_Data!G491)</f>
        <v>Non-Sensitive</v>
      </c>
      <c r="H475" s="32" t="str">
        <f aca="false">IFERROR(INDEX(Reference_Lists!$C$51:$C$57,MATCH(PROPER(TRIM(Raw_Data!H491)),Reference_Lists!$B$51:$B$57,0)),"UNMATCHED")</f>
        <v>Female</v>
      </c>
      <c r="I475" s="32" t="str">
        <f aca="false">IF(Raw_Data!I491="","",Raw_Data!I491)</f>
        <v>18-29</v>
      </c>
      <c r="J475" s="32" t="str">
        <f aca="false">IFERROR(INDEX(Reference_Lists!$C$58:$C$65,MATCH(PROPER(TRIM(Raw_Data!J491)),Reference_Lists!$B$58:$B$65,0)),"UNMATCHED")</f>
        <v>Closed</v>
      </c>
      <c r="K475" s="30" t="n">
        <f aca="false">IF(Raw_Data!K491="","",IF(ISTEXT(Raw_Data!K491),IFERROR(DATE(VALUE(RIGHT(TRIM(Raw_Data!K491),4)),VALUE(MID(TRIM(Raw_Data!K491),4,2)),VALUE(LEFT(TRIM(Raw_Data!K491),2))),"CHECK"),Raw_Data!K491))</f>
        <v>46216</v>
      </c>
      <c r="L475" s="33" t="str">
        <f aca="false">IF(Raw_Data!L491="","",Raw_Data!L491)</f>
        <v>Requesting a referral pathway for a family member with limited mobility.</v>
      </c>
      <c r="M475" s="34" t="n">
        <f aca="false">IF(OR(B475="",K475=""),"",IFERROR(K475-B475,"CHECK"))</f>
        <v>10</v>
      </c>
      <c r="N475" s="34" t="n">
        <f aca="false">IFERROR(INDEX(Reference_Lists!$H$13:$H$14,MATCH(G475,Reference_Lists!$G$13:$G$14,0)),"UNMATCHED")</f>
        <v>15</v>
      </c>
      <c r="O475" s="35" t="b">
        <f aca="false">IF(AND(J475="Closed",ISNUMBER(M475),ISNUMBER(N475),M475&gt;=0),M475&lt;=N475,"NOT ASSESSED")</f>
        <v>1</v>
      </c>
      <c r="P475" s="36" t="str">
        <f aca="false">Raw_Data!A491</f>
        <v>CFM-2026-0353</v>
      </c>
      <c r="Q475" s="37" t="str">
        <f aca="false">IFERROR(IF(OR($A475="",$P475=""),"MISSING ID",IF(EXACT($A475,$P475),"ALIGNED","MISMATCH")),"CHECK")</f>
        <v>ALIGNED</v>
      </c>
    </row>
    <row r="476" customFormat="false" ht="19.5" hidden="false" customHeight="true" outlineLevel="0" collapsed="false">
      <c r="A476" s="29" t="s">
        <v>604</v>
      </c>
      <c r="B476" s="30" t="n">
        <f aca="false">IF(Raw_Data!B492="","",IF(ISTEXT(Raw_Data!B492),IFERROR(DATE(VALUE(RIGHT(TRIM(Raw_Data!B492),4)),VALUE(MID(TRIM(Raw_Data!B492),4,2)),VALUE(LEFT(TRIM(Raw_Data!B492),2))),"CHECK"),Raw_Data!B492))</f>
        <v>46029</v>
      </c>
      <c r="C476" s="31" t="str">
        <f aca="false">IFERROR(INDEX(Reference_Lists!$C$23:$C$35,MATCH(PROPER(TRIM(Raw_Data!C492)),Reference_Lists!$B$23:$B$35,0)),"UNMATCHED")</f>
        <v>Community Focal Point</v>
      </c>
      <c r="D476" s="31" t="str">
        <f aca="false">IFERROR(INDEX(Reference_Lists!$C$36:$C$50,MATCH(PROPER(TRIM(Raw_Data!D492)),Reference_Lists!$B$36:$B$50,0)),"UNMATCHED")</f>
        <v>Nuseirat</v>
      </c>
      <c r="E476" s="31" t="str">
        <f aca="false">IF(Raw_Data!E492="","",Raw_Data!E492)</f>
        <v>WASH</v>
      </c>
      <c r="F476" s="31" t="str">
        <f aca="false">IF(Raw_Data!F492="","",Raw_Data!F492)</f>
        <v>Complaint</v>
      </c>
      <c r="G476" s="32" t="str">
        <f aca="false">IF(Raw_Data!G492="","",Raw_Data!G492)</f>
        <v>Non-Sensitive</v>
      </c>
      <c r="H476" s="32" t="str">
        <f aca="false">IFERROR(INDEX(Reference_Lists!$C$51:$C$57,MATCH(PROPER(TRIM(Raw_Data!H492)),Reference_Lists!$B$51:$B$57,0)),"UNMATCHED")</f>
        <v>Female</v>
      </c>
      <c r="I476" s="32" t="str">
        <f aca="false">IF(Raw_Data!I492="","",Raw_Data!I492)</f>
        <v>60+</v>
      </c>
      <c r="J476" s="32" t="str">
        <f aca="false">IFERROR(INDEX(Reference_Lists!$C$58:$C$65,MATCH(PROPER(TRIM(Raw_Data!J492)),Reference_Lists!$B$58:$B$65,0)),"UNMATCHED")</f>
        <v>In Progress</v>
      </c>
      <c r="K476" s="30" t="str">
        <f aca="false">IF(Raw_Data!K492="","",IF(ISTEXT(Raw_Data!K492),IFERROR(DATE(VALUE(RIGHT(TRIM(Raw_Data!K492),4)),VALUE(MID(TRIM(Raw_Data!K492),4,2)),VALUE(LEFT(TRIM(Raw_Data!K492),2))),"CHECK"),Raw_Data!K492))</f>
        <v/>
      </c>
      <c r="L476" s="33" t="str">
        <f aca="false">IF(Raw_Data!L492="","",Raw_Data!L492)</f>
        <v>Latrine at the site block needs cleaning and lighting at night.</v>
      </c>
      <c r="M476" s="34" t="str">
        <f aca="false">IF(OR(B476="",K476=""),"",IFERROR(K476-B476,"CHECK"))</f>
        <v/>
      </c>
      <c r="N476" s="34" t="n">
        <f aca="false">IFERROR(INDEX(Reference_Lists!$H$13:$H$14,MATCH(G476,Reference_Lists!$G$13:$G$14,0)),"UNMATCHED")</f>
        <v>15</v>
      </c>
      <c r="O476" s="32" t="str">
        <f aca="false">IF(AND(J476="Closed",ISNUMBER(M476),ISNUMBER(N476),M476&gt;=0),M476&lt;=N476,"NOT ASSESSED")</f>
        <v>NOT ASSESSED</v>
      </c>
      <c r="P476" s="36" t="str">
        <f aca="false">Raw_Data!A492</f>
        <v>CFM-2026-0348</v>
      </c>
      <c r="Q476" s="37" t="str">
        <f aca="false">IFERROR(IF(OR($A476="",$P476=""),"MISSING ID",IF(EXACT($A476,$P476),"ALIGNED","MISMATCH")),"CHECK")</f>
        <v>ALIGNED</v>
      </c>
    </row>
    <row r="477" customFormat="false" ht="19.5" hidden="false" customHeight="true" outlineLevel="0" collapsed="false">
      <c r="A477" s="29" t="s">
        <v>605</v>
      </c>
      <c r="B477" s="30" t="n">
        <f aca="false">IF(Raw_Data!B494="","",IF(ISTEXT(Raw_Data!B494),IFERROR(DATE(VALUE(RIGHT(TRIM(Raw_Data!B494),4)),VALUE(MID(TRIM(Raw_Data!B494),4,2)),VALUE(LEFT(TRIM(Raw_Data!B494),2))),"CHECK"),Raw_Data!B494))</f>
        <v>46085</v>
      </c>
      <c r="C477" s="31" t="str">
        <f aca="false">IFERROR(INDEX(Reference_Lists!$C$23:$C$35,MATCH(PROPER(TRIM(Raw_Data!C494)),Reference_Lists!$B$23:$B$35,0)),"UNMATCHED")</f>
        <v>Suggestion Box</v>
      </c>
      <c r="D477" s="31" t="str">
        <f aca="false">IFERROR(INDEX(Reference_Lists!$C$36:$C$50,MATCH(PROPER(TRIM(Raw_Data!D494)),Reference_Lists!$B$36:$B$50,0)),"UNMATCHED")</f>
        <v>Khan Yunis</v>
      </c>
      <c r="E477" s="31" t="str">
        <f aca="false">IF(Raw_Data!E494="","",Raw_Data!E494)</f>
        <v>Food Security</v>
      </c>
      <c r="F477" s="31" t="str">
        <f aca="false">IF(Raw_Data!F494="","",Raw_Data!F494)</f>
        <v>Suggestion</v>
      </c>
      <c r="G477" s="32" t="str">
        <f aca="false">IF(Raw_Data!G494="","",Raw_Data!G494)</f>
        <v>Non-Sensitive</v>
      </c>
      <c r="H477" s="32" t="str">
        <f aca="false">IFERROR(INDEX(Reference_Lists!$C$51:$C$57,MATCH(PROPER(TRIM(Raw_Data!H494)),Reference_Lists!$B$51:$B$57,0)),"UNMATCHED")</f>
        <v>Female</v>
      </c>
      <c r="I477" s="32" t="str">
        <f aca="false">IF(Raw_Data!I494="","",Raw_Data!I494)</f>
        <v>18-29</v>
      </c>
      <c r="J477" s="32" t="str">
        <f aca="false">IFERROR(INDEX(Reference_Lists!$C$58:$C$65,MATCH(PROPER(TRIM(Raw_Data!J494)),Reference_Lists!$B$58:$B$65,0)),"UNMATCHED")</f>
        <v>Closed</v>
      </c>
      <c r="K477" s="30" t="n">
        <f aca="false">IF(Raw_Data!K494="","",IF(ISTEXT(Raw_Data!K494),IFERROR(DATE(VALUE(RIGHT(TRIM(Raw_Data!K494),4)),VALUE(MID(TRIM(Raw_Data!K494),4,2)),VALUE(LEFT(TRIM(Raw_Data!K494),2))),"CHECK"),Raw_Data!K494))</f>
        <v>46110</v>
      </c>
      <c r="L477" s="33" t="str">
        <f aca="false">IF(Raw_Data!L494="","",Raw_Data!L494)</f>
        <v>Food parcel contents did not match the announced list.</v>
      </c>
      <c r="M477" s="34" t="n">
        <f aca="false">IF(OR(B477="",K477=""),"",IFERROR(K477-B477,"CHECK"))</f>
        <v>25</v>
      </c>
      <c r="N477" s="34" t="n">
        <f aca="false">IFERROR(INDEX(Reference_Lists!$H$13:$H$14,MATCH(G477,Reference_Lists!$G$13:$G$14,0)),"UNMATCHED")</f>
        <v>15</v>
      </c>
      <c r="O477" s="35" t="b">
        <f aca="false">IF(AND(J477="Closed",ISNUMBER(M477),ISNUMBER(N477),M477&gt;=0),M477&lt;=N477,"NOT ASSESSED")</f>
        <v>0</v>
      </c>
      <c r="P477" s="36" t="str">
        <f aca="false">Raw_Data!A494</f>
        <v>CFM-2026-0282</v>
      </c>
      <c r="Q477" s="37" t="str">
        <f aca="false">IFERROR(IF(OR($A477="",$P477=""),"MISSING ID",IF(EXACT($A477,$P477),"ALIGNED","MISMATCH")),"CHECK")</f>
        <v>ALIGNED</v>
      </c>
    </row>
    <row r="478" customFormat="false" ht="19.5" hidden="false" customHeight="true" outlineLevel="0" collapsed="false">
      <c r="A478" s="29" t="s">
        <v>606</v>
      </c>
      <c r="B478" s="30" t="n">
        <f aca="false">IF(Raw_Data!B495="","",IF(ISTEXT(Raw_Data!B495),IFERROR(DATE(VALUE(RIGHT(TRIM(Raw_Data!B495),4)),VALUE(MID(TRIM(Raw_Data!B495),4,2)),VALUE(LEFT(TRIM(Raw_Data!B495),2))),"CHECK"),Raw_Data!B495))</f>
        <v>46126</v>
      </c>
      <c r="C478" s="31" t="str">
        <f aca="false">IFERROR(INDEX(Reference_Lists!$C$23:$C$35,MATCH(PROPER(TRIM(Raw_Data!C495)),Reference_Lists!$B$23:$B$35,0)),"UNMATCHED")</f>
        <v>In-Person at Distribution</v>
      </c>
      <c r="D478" s="31" t="str">
        <f aca="false">IFERROR(INDEX(Reference_Lists!$C$36:$C$50,MATCH(PROPER(TRIM(Raw_Data!D495)),Reference_Lists!$B$36:$B$50,0)),"UNMATCHED")</f>
        <v>Nuseirat</v>
      </c>
      <c r="E478" s="31" t="str">
        <f aca="false">IF(Raw_Data!E495="","",Raw_Data!E495)</f>
        <v>Health</v>
      </c>
      <c r="F478" s="31" t="str">
        <f aca="false">IF(Raw_Data!F495="","",Raw_Data!F495)</f>
        <v>Request for Information</v>
      </c>
      <c r="G478" s="32" t="str">
        <f aca="false">IF(Raw_Data!G495="","",Raw_Data!G495)</f>
        <v>Non-Sensitive</v>
      </c>
      <c r="H478" s="32" t="str">
        <f aca="false">IFERROR(INDEX(Reference_Lists!$C$51:$C$57,MATCH(PROPER(TRIM(Raw_Data!H495)),Reference_Lists!$B$51:$B$57,0)),"UNMATCHED")</f>
        <v>Female</v>
      </c>
      <c r="I478" s="32" t="str">
        <f aca="false">IF(Raw_Data!I495="","",Raw_Data!I495)</f>
        <v>45-59</v>
      </c>
      <c r="J478" s="32" t="str">
        <f aca="false">IFERROR(INDEX(Reference_Lists!$C$58:$C$65,MATCH(PROPER(TRIM(Raw_Data!J495)),Reference_Lists!$B$58:$B$65,0)),"UNMATCHED")</f>
        <v>Open</v>
      </c>
      <c r="K478" s="30" t="str">
        <f aca="false">IF(Raw_Data!K495="","",IF(ISTEXT(Raw_Data!K495),IFERROR(DATE(VALUE(RIGHT(TRIM(Raw_Data!K495),4)),VALUE(MID(TRIM(Raw_Data!K495),4,2)),VALUE(LEFT(TRIM(Raw_Data!K495),2))),"CHECK"),Raw_Data!K495))</f>
        <v/>
      </c>
      <c r="L478" s="33" t="str">
        <f aca="false">IF(Raw_Data!L495="","",Raw_Data!L495)</f>
        <v>Requesting a referral pathway for a family member with limited mobility.</v>
      </c>
      <c r="M478" s="34" t="str">
        <f aca="false">IF(OR(B478="",K478=""),"",IFERROR(K478-B478,"CHECK"))</f>
        <v/>
      </c>
      <c r="N478" s="34" t="n">
        <f aca="false">IFERROR(INDEX(Reference_Lists!$H$13:$H$14,MATCH(G478,Reference_Lists!$G$13:$G$14,0)),"UNMATCHED")</f>
        <v>15</v>
      </c>
      <c r="O478" s="32" t="str">
        <f aca="false">IF(AND(J478="Closed",ISNUMBER(M478),ISNUMBER(N478),M478&gt;=0),M478&lt;=N478,"NOT ASSESSED")</f>
        <v>NOT ASSESSED</v>
      </c>
      <c r="P478" s="36" t="str">
        <f aca="false">Raw_Data!A495</f>
        <v>CFM-2026-0026</v>
      </c>
      <c r="Q478" s="37" t="str">
        <f aca="false">IFERROR(IF(OR($A478="",$P478=""),"MISSING ID",IF(EXACT($A478,$P478),"ALIGNED","MISMATCH")),"CHECK")</f>
        <v>ALIGNED</v>
      </c>
    </row>
    <row r="479" customFormat="false" ht="19.5" hidden="false" customHeight="true" outlineLevel="0" collapsed="false">
      <c r="A479" s="29" t="s">
        <v>607</v>
      </c>
      <c r="B479" s="30" t="n">
        <f aca="false">IF(Raw_Data!B496="","",IF(ISTEXT(Raw_Data!B496),IFERROR(DATE(VALUE(RIGHT(TRIM(Raw_Data!B496),4)),VALUE(MID(TRIM(Raw_Data!B496),4,2)),VALUE(LEFT(TRIM(Raw_Data!B496),2))),"CHECK"),Raw_Data!B496))</f>
        <v>46037</v>
      </c>
      <c r="C479" s="31" t="str">
        <f aca="false">IFERROR(INDEX(Reference_Lists!$C$23:$C$35,MATCH(PROPER(TRIM(Raw_Data!C496)),Reference_Lists!$B$23:$B$35,0)),"UNMATCHED")</f>
        <v>In-Person at Distribution</v>
      </c>
      <c r="D479" s="31" t="str">
        <f aca="false">IFERROR(INDEX(Reference_Lists!$C$36:$C$50,MATCH(PROPER(TRIM(Raw_Data!D496)),Reference_Lists!$B$36:$B$50,0)),"UNMATCHED")</f>
        <v>Rafah</v>
      </c>
      <c r="E479" s="31" t="str">
        <f aca="false">IF(Raw_Data!E496="","",Raw_Data!E496)</f>
        <v>WASH</v>
      </c>
      <c r="F479" s="31" t="str">
        <f aca="false">IF(Raw_Data!F496="","",Raw_Data!F496)</f>
        <v>Appreciation</v>
      </c>
      <c r="G479" s="32" t="str">
        <f aca="false">IF(Raw_Data!G496="","",Raw_Data!G496)</f>
        <v>Non-Sensitive</v>
      </c>
      <c r="H479" s="32" t="str">
        <f aca="false">IFERROR(INDEX(Reference_Lists!$C$51:$C$57,MATCH(PROPER(TRIM(Raw_Data!H496)),Reference_Lists!$B$51:$B$57,0)),"UNMATCHED")</f>
        <v>Female</v>
      </c>
      <c r="I479" s="32" t="str">
        <f aca="false">IF(Raw_Data!I496="","",Raw_Data!I496)</f>
        <v>30-44</v>
      </c>
      <c r="J479" s="32" t="str">
        <f aca="false">IFERROR(INDEX(Reference_Lists!$C$58:$C$65,MATCH(PROPER(TRIM(Raw_Data!J496)),Reference_Lists!$B$58:$B$65,0)),"UNMATCHED")</f>
        <v>Closed</v>
      </c>
      <c r="K479" s="30" t="n">
        <f aca="false">IF(Raw_Data!K496="","",IF(ISTEXT(Raw_Data!K496),IFERROR(DATE(VALUE(RIGHT(TRIM(Raw_Data!K496),4)),VALUE(MID(TRIM(Raw_Data!K496),4,2)),VALUE(LEFT(TRIM(Raw_Data!K496),2))),"CHECK"),Raw_Data!K496))</f>
        <v>46061</v>
      </c>
      <c r="L479" s="33" t="str">
        <f aca="false">IF(Raw_Data!L496="","",Raw_Data!L496)</f>
        <v>Latrine at the site block needs cleaning and lighting at night.</v>
      </c>
      <c r="M479" s="34" t="n">
        <f aca="false">IF(OR(B479="",K479=""),"",IFERROR(K479-B479,"CHECK"))</f>
        <v>24</v>
      </c>
      <c r="N479" s="34" t="n">
        <f aca="false">IFERROR(INDEX(Reference_Lists!$H$13:$H$14,MATCH(G479,Reference_Lists!$G$13:$G$14,0)),"UNMATCHED")</f>
        <v>15</v>
      </c>
      <c r="O479" s="35" t="b">
        <f aca="false">IF(AND(J479="Closed",ISNUMBER(M479),ISNUMBER(N479),M479&gt;=0),M479&lt;=N479,"NOT ASSESSED")</f>
        <v>0</v>
      </c>
      <c r="P479" s="36" t="str">
        <f aca="false">Raw_Data!A496</f>
        <v>CFM-2026-0442</v>
      </c>
      <c r="Q479" s="37" t="str">
        <f aca="false">IFERROR(IF(OR($A479="",$P479=""),"MISSING ID",IF(EXACT($A479,$P479),"ALIGNED","MISMATCH")),"CHECK")</f>
        <v>ALIGNED</v>
      </c>
    </row>
    <row r="480" customFormat="false" ht="19.5" hidden="false" customHeight="true" outlineLevel="0" collapsed="false">
      <c r="A480" s="29" t="s">
        <v>608</v>
      </c>
      <c r="B480" s="30" t="n">
        <f aca="false">IF(Raw_Data!B497="","",IF(ISTEXT(Raw_Data!B497),IFERROR(DATE(VALUE(RIGHT(TRIM(Raw_Data!B497),4)),VALUE(MID(TRIM(Raw_Data!B497),4,2)),VALUE(LEFT(TRIM(Raw_Data!B497),2))),"CHECK"),Raw_Data!B497))</f>
        <v>46122</v>
      </c>
      <c r="C480" s="31" t="str">
        <f aca="false">IFERROR(INDEX(Reference_Lists!$C$23:$C$35,MATCH(PROPER(TRIM(Raw_Data!C497)),Reference_Lists!$B$23:$B$35,0)),"UNMATCHED")</f>
        <v>Suggestion Box</v>
      </c>
      <c r="D480" s="31" t="str">
        <f aca="false">IFERROR(INDEX(Reference_Lists!$C$36:$C$50,MATCH(PROPER(TRIM(Raw_Data!D497)),Reference_Lists!$B$36:$B$50,0)),"UNMATCHED")</f>
        <v>Rafah</v>
      </c>
      <c r="E480" s="31" t="str">
        <f aca="false">IF(Raw_Data!E497="","",Raw_Data!E497)</f>
        <v/>
      </c>
      <c r="F480" s="31" t="str">
        <f aca="false">IF(Raw_Data!F497="","",Raw_Data!F497)</f>
        <v>Complaint</v>
      </c>
      <c r="G480" s="32" t="str">
        <f aca="false">IF(Raw_Data!G497="","",Raw_Data!G497)</f>
        <v>Non-Sensitive</v>
      </c>
      <c r="H480" s="32" t="str">
        <f aca="false">IFERROR(INDEX(Reference_Lists!$C$51:$C$57,MATCH(PROPER(TRIM(Raw_Data!H497)),Reference_Lists!$B$51:$B$57,0)),"UNMATCHED")</f>
        <v>Female</v>
      </c>
      <c r="I480" s="32" t="str">
        <f aca="false">IF(Raw_Data!I497="","",Raw_Data!I497)</f>
        <v/>
      </c>
      <c r="J480" s="32" t="str">
        <f aca="false">IFERROR(INDEX(Reference_Lists!$C$58:$C$65,MATCH(PROPER(TRIM(Raw_Data!J497)),Reference_Lists!$B$58:$B$65,0)),"UNMATCHED")</f>
        <v>Closed</v>
      </c>
      <c r="K480" s="30" t="n">
        <f aca="false">IF(Raw_Data!K497="","",IF(ISTEXT(Raw_Data!K497),IFERROR(DATE(VALUE(RIGHT(TRIM(Raw_Data!K497),4)),VALUE(MID(TRIM(Raw_Data!K497),4,2)),VALUE(LEFT(TRIM(Raw_Data!K497),2))),"CHECK"),Raw_Data!K497))</f>
        <v>46130</v>
      </c>
      <c r="L480" s="33" t="str">
        <f aca="false">IF(Raw_Data!L497="","",Raw_Data!L497)</f>
        <v>The queue at the water point is not organised and older people cannot wait.</v>
      </c>
      <c r="M480" s="34" t="n">
        <f aca="false">IF(OR(B480="",K480=""),"",IFERROR(K480-B480,"CHECK"))</f>
        <v>8</v>
      </c>
      <c r="N480" s="34" t="n">
        <f aca="false">IFERROR(INDEX(Reference_Lists!$H$13:$H$14,MATCH(G480,Reference_Lists!$G$13:$G$14,0)),"UNMATCHED")</f>
        <v>15</v>
      </c>
      <c r="O480" s="35" t="b">
        <f aca="false">IF(AND(J480="Closed",ISNUMBER(M480),ISNUMBER(N480),M480&gt;=0),M480&lt;=N480,"NOT ASSESSED")</f>
        <v>1</v>
      </c>
      <c r="P480" s="36" t="str">
        <f aca="false">Raw_Data!A497</f>
        <v>CFM-2026-0329</v>
      </c>
      <c r="Q480" s="37" t="str">
        <f aca="false">IFERROR(IF(OR($A480="",$P480=""),"MISSING ID",IF(EXACT($A480,$P480),"ALIGNED","MISMATCH")),"CHECK")</f>
        <v>ALIGNED</v>
      </c>
    </row>
    <row r="481" customFormat="false" ht="19.5" hidden="false" customHeight="true" outlineLevel="0" collapsed="false">
      <c r="A481" s="29" t="s">
        <v>609</v>
      </c>
      <c r="B481" s="30" t="n">
        <f aca="false">IF(Raw_Data!B498="","",IF(ISTEXT(Raw_Data!B498),IFERROR(DATE(VALUE(RIGHT(TRIM(Raw_Data!B498),4)),VALUE(MID(TRIM(Raw_Data!B498),4,2)),VALUE(LEFT(TRIM(Raw_Data!B498),2))),"CHECK"),Raw_Data!B498))</f>
        <v>46182</v>
      </c>
      <c r="C481" s="31" t="str">
        <f aca="false">IFERROR(INDEX(Reference_Lists!$C$23:$C$35,MATCH(PROPER(TRIM(Raw_Data!C498)),Reference_Lists!$B$23:$B$35,0)),"UNMATCHED")</f>
        <v>In-Person at Distribution</v>
      </c>
      <c r="D481" s="31" t="str">
        <f aca="false">IFERROR(INDEX(Reference_Lists!$C$36:$C$50,MATCH(PROPER(TRIM(Raw_Data!D498)),Reference_Lists!$B$36:$B$50,0)),"UNMATCHED")</f>
        <v>Deir al-Balah</v>
      </c>
      <c r="E481" s="31" t="str">
        <f aca="false">IF(Raw_Data!E498="","",Raw_Data!E498)</f>
        <v>WASH</v>
      </c>
      <c r="F481" s="31" t="str">
        <f aca="false">IF(Raw_Data!F498="","",Raw_Data!F498)</f>
        <v>Complaint</v>
      </c>
      <c r="G481" s="32" t="str">
        <f aca="false">IF(Raw_Data!G498="","",Raw_Data!G498)</f>
        <v>Non-Sensitive</v>
      </c>
      <c r="H481" s="32" t="str">
        <f aca="false">IFERROR(INDEX(Reference_Lists!$C$51:$C$57,MATCH(PROPER(TRIM(Raw_Data!H498)),Reference_Lists!$B$51:$B$57,0)),"UNMATCHED")</f>
        <v>Male</v>
      </c>
      <c r="I481" s="32" t="str">
        <f aca="false">IF(Raw_Data!I498="","",Raw_Data!I498)</f>
        <v>45-59</v>
      </c>
      <c r="J481" s="32" t="str">
        <f aca="false">IFERROR(INDEX(Reference_Lists!$C$58:$C$65,MATCH(PROPER(TRIM(Raw_Data!J498)),Reference_Lists!$B$58:$B$65,0)),"UNMATCHED")</f>
        <v>Open</v>
      </c>
      <c r="K481" s="30" t="str">
        <f aca="false">IF(Raw_Data!K498="","",IF(ISTEXT(Raw_Data!K498),IFERROR(DATE(VALUE(RIGHT(TRIM(Raw_Data!K498),4)),VALUE(MID(TRIM(Raw_Data!K498),4,2)),VALUE(LEFT(TRIM(Raw_Data!K498),2))),"CHECK"),Raw_Data!K498))</f>
        <v/>
      </c>
      <c r="L481" s="33" t="str">
        <f aca="false">IF(Raw_Data!L498="","",Raw_Data!L498)</f>
        <v>Water truck did not arrive at the agreed time for three consecutive days.</v>
      </c>
      <c r="M481" s="34" t="str">
        <f aca="false">IF(OR(B481="",K481=""),"",IFERROR(K481-B481,"CHECK"))</f>
        <v/>
      </c>
      <c r="N481" s="34" t="n">
        <f aca="false">IFERROR(INDEX(Reference_Lists!$H$13:$H$14,MATCH(G481,Reference_Lists!$G$13:$G$14,0)),"UNMATCHED")</f>
        <v>15</v>
      </c>
      <c r="O481" s="32" t="str">
        <f aca="false">IF(AND(J481="Closed",ISNUMBER(M481),ISNUMBER(N481),M481&gt;=0),M481&lt;=N481,"NOT ASSESSED")</f>
        <v>NOT ASSESSED</v>
      </c>
      <c r="P481" s="36" t="str">
        <f aca="false">Raw_Data!A498</f>
        <v>CFM-2026-0181</v>
      </c>
      <c r="Q481" s="37" t="str">
        <f aca="false">IFERROR(IF(OR($A481="",$P481=""),"MISSING ID",IF(EXACT($A481,$P481),"ALIGNED","MISMATCH")),"CHECK")</f>
        <v>ALIGNED</v>
      </c>
    </row>
    <row r="482" customFormat="false" ht="19.5" hidden="false" customHeight="true" outlineLevel="0" collapsed="false">
      <c r="A482" s="29" t="s">
        <v>610</v>
      </c>
      <c r="B482" s="30" t="n">
        <f aca="false">IF(Raw_Data!B499="","",IF(ISTEXT(Raw_Data!B499),IFERROR(DATE(VALUE(RIGHT(TRIM(Raw_Data!B499),4)),VALUE(MID(TRIM(Raw_Data!B499),4,2)),VALUE(LEFT(TRIM(Raw_Data!B499),2))),"CHECK"),Raw_Data!B499))</f>
        <v>46168</v>
      </c>
      <c r="C482" s="31" t="str">
        <f aca="false">IFERROR(INDEX(Reference_Lists!$C$23:$C$35,MATCH(PROPER(TRIM(Raw_Data!C499)),Reference_Lists!$B$23:$B$35,0)),"UNMATCHED")</f>
        <v>Help Desk</v>
      </c>
      <c r="D482" s="31" t="str">
        <f aca="false">IFERROR(INDEX(Reference_Lists!$C$36:$C$50,MATCH(PROPER(TRIM(Raw_Data!D499)),Reference_Lists!$B$36:$B$50,0)),"UNMATCHED")</f>
        <v>Nuseirat</v>
      </c>
      <c r="E482" s="31" t="str">
        <f aca="false">IF(Raw_Data!E499="","",Raw_Data!E499)</f>
        <v>Shelter</v>
      </c>
      <c r="F482" s="31" t="str">
        <f aca="false">IF(Raw_Data!F499="","",Raw_Data!F499)</f>
        <v>Complaint</v>
      </c>
      <c r="G482" s="32" t="str">
        <f aca="false">IF(Raw_Data!G499="","",Raw_Data!G499)</f>
        <v/>
      </c>
      <c r="H482" s="32" t="str">
        <f aca="false">IFERROR(INDEX(Reference_Lists!$C$51:$C$57,MATCH(PROPER(TRIM(Raw_Data!H499)),Reference_Lists!$B$51:$B$57,0)),"UNMATCHED")</f>
        <v>Male</v>
      </c>
      <c r="I482" s="32" t="str">
        <f aca="false">IF(Raw_Data!I499="","",Raw_Data!I499)</f>
        <v>30-44</v>
      </c>
      <c r="J482" s="32" t="str">
        <f aca="false">IFERROR(INDEX(Reference_Lists!$C$58:$C$65,MATCH(PROPER(TRIM(Raw_Data!J499)),Reference_Lists!$B$58:$B$65,0)),"UNMATCHED")</f>
        <v>Closed</v>
      </c>
      <c r="K482" s="30" t="n">
        <f aca="false">IF(Raw_Data!K499="","",IF(ISTEXT(Raw_Data!K499),IFERROR(DATE(VALUE(RIGHT(TRIM(Raw_Data!K499),4)),VALUE(MID(TRIM(Raw_Data!K499),4,2)),VALUE(LEFT(TRIM(Raw_Data!K499),2))),"CHECK"),Raw_Data!K499))</f>
        <v>46196</v>
      </c>
      <c r="L482" s="33" t="str">
        <f aca="false">IF(Raw_Data!L499="","",Raw_Data!L499)</f>
        <v>Requesting information about the criteria for shelter repair kits.</v>
      </c>
      <c r="M482" s="34" t="n">
        <f aca="false">IF(OR(B482="",K482=""),"",IFERROR(K482-B482,"CHECK"))</f>
        <v>28</v>
      </c>
      <c r="N482" s="34" t="str">
        <f aca="false">IFERROR(INDEX(Reference_Lists!$H$13:$H$14,MATCH(G482,Reference_Lists!$G$13:$G$14,0)),"UNMATCHED")</f>
        <v>UNMATCHED</v>
      </c>
      <c r="O482" s="32" t="str">
        <f aca="false">IF(AND(J482="Closed",ISNUMBER(M482),ISNUMBER(N482),M482&gt;=0),M482&lt;=N482,"NOT ASSESSED")</f>
        <v>NOT ASSESSED</v>
      </c>
      <c r="P482" s="36" t="str">
        <f aca="false">Raw_Data!A499</f>
        <v>CFM-2026-0092</v>
      </c>
      <c r="Q482" s="37" t="str">
        <f aca="false">IFERROR(IF(OR($A482="",$P482=""),"MISSING ID",IF(EXACT($A482,$P482),"ALIGNED","MISMATCH")),"CHECK")</f>
        <v>ALIGNED</v>
      </c>
    </row>
    <row r="483" customFormat="false" ht="19.5" hidden="false" customHeight="true" outlineLevel="0" collapsed="false">
      <c r="A483" s="29" t="s">
        <v>611</v>
      </c>
      <c r="B483" s="30" t="n">
        <f aca="false">IF(Raw_Data!B500="","",IF(ISTEXT(Raw_Data!B500),IFERROR(DATE(VALUE(RIGHT(TRIM(Raw_Data!B500),4)),VALUE(MID(TRIM(Raw_Data!B500),4,2)),VALUE(LEFT(TRIM(Raw_Data!B500),2))),"CHECK"),Raw_Data!B500))</f>
        <v>46223</v>
      </c>
      <c r="C483" s="31" t="str">
        <f aca="false">IFERROR(INDEX(Reference_Lists!$C$23:$C$35,MATCH(PROPER(TRIM(Raw_Data!C500)),Reference_Lists!$B$23:$B$35,0)),"UNMATCHED")</f>
        <v>In-Person at Distribution</v>
      </c>
      <c r="D483" s="31" t="str">
        <f aca="false">IFERROR(INDEX(Reference_Lists!$C$36:$C$50,MATCH(PROPER(TRIM(Raw_Data!D500)),Reference_Lists!$B$36:$B$50,0)),"UNMATCHED")</f>
        <v>Nuseirat</v>
      </c>
      <c r="E483" s="31" t="str">
        <f aca="false">IF(Raw_Data!E500="","",Raw_Data!E500)</f>
        <v>Health</v>
      </c>
      <c r="F483" s="31" t="str">
        <f aca="false">IF(Raw_Data!F500="","",Raw_Data!F500)</f>
        <v>Complaint</v>
      </c>
      <c r="G483" s="32" t="str">
        <f aca="false">IF(Raw_Data!G500="","",Raw_Data!G500)</f>
        <v>Non-Sensitive</v>
      </c>
      <c r="H483" s="32" t="str">
        <f aca="false">IFERROR(INDEX(Reference_Lists!$C$51:$C$57,MATCH(PROPER(TRIM(Raw_Data!H500)),Reference_Lists!$B$51:$B$57,0)),"UNMATCHED")</f>
        <v>Female</v>
      </c>
      <c r="I483" s="32" t="str">
        <f aca="false">IF(Raw_Data!I500="","",Raw_Data!I500)</f>
        <v>45-59</v>
      </c>
      <c r="J483" s="32" t="str">
        <f aca="false">IFERROR(INDEX(Reference_Lists!$C$58:$C$65,MATCH(PROPER(TRIM(Raw_Data!J500)),Reference_Lists!$B$58:$B$65,0)),"UNMATCHED")</f>
        <v>Open</v>
      </c>
      <c r="K483" s="30" t="str">
        <f aca="false">IF(Raw_Data!K500="","",IF(ISTEXT(Raw_Data!K500),IFERROR(DATE(VALUE(RIGHT(TRIM(Raw_Data!K500),4)),VALUE(MID(TRIM(Raw_Data!K500),4,2)),VALUE(LEFT(TRIM(Raw_Data!K500),2))),"CHECK"),Raw_Data!K500))</f>
        <v/>
      </c>
      <c r="L483" s="33" t="str">
        <f aca="false">IF(Raw_Data!L500="","",Raw_Data!L500)</f>
        <v>Clinic opening hours are not clear to the community.</v>
      </c>
      <c r="M483" s="34" t="str">
        <f aca="false">IF(OR(B483="",K483=""),"",IFERROR(K483-B483,"CHECK"))</f>
        <v/>
      </c>
      <c r="N483" s="34" t="n">
        <f aca="false">IFERROR(INDEX(Reference_Lists!$H$13:$H$14,MATCH(G483,Reference_Lists!$G$13:$G$14,0)),"UNMATCHED")</f>
        <v>15</v>
      </c>
      <c r="O483" s="32" t="str">
        <f aca="false">IF(AND(J483="Closed",ISNUMBER(M483),ISNUMBER(N483),M483&gt;=0),M483&lt;=N483,"NOT ASSESSED")</f>
        <v>NOT ASSESSED</v>
      </c>
      <c r="P483" s="36" t="str">
        <f aca="false">Raw_Data!A500</f>
        <v>CFM-2026-0439</v>
      </c>
      <c r="Q483" s="37" t="str">
        <f aca="false">IFERROR(IF(OR($A483="",$P483=""),"MISSING ID",IF(EXACT($A483,$P483),"ALIGNED","MISMATCH")),"CHECK")</f>
        <v>ALIGNED</v>
      </c>
    </row>
    <row r="484" customFormat="false" ht="19.5" hidden="false" customHeight="true" outlineLevel="0" collapsed="false">
      <c r="A484" s="29" t="s">
        <v>612</v>
      </c>
      <c r="B484" s="30" t="n">
        <f aca="false">IF(Raw_Data!B501="","",IF(ISTEXT(Raw_Data!B501),IFERROR(DATE(VALUE(RIGHT(TRIM(Raw_Data!B501),4)),VALUE(MID(TRIM(Raw_Data!B501),4,2)),VALUE(LEFT(TRIM(Raw_Data!B501),2))),"CHECK"),Raw_Data!B501))</f>
        <v>46218</v>
      </c>
      <c r="C484" s="31" t="str">
        <f aca="false">IFERROR(INDEX(Reference_Lists!$C$23:$C$35,MATCH(PROPER(TRIM(Raw_Data!C501)),Reference_Lists!$B$23:$B$35,0)),"UNMATCHED")</f>
        <v>In-Person at Distribution</v>
      </c>
      <c r="D484" s="31" t="str">
        <f aca="false">IFERROR(INDEX(Reference_Lists!$C$36:$C$50,MATCH(PROPER(TRIM(Raw_Data!D501)),Reference_Lists!$B$36:$B$50,0)),"UNMATCHED")</f>
        <v>Nuseirat</v>
      </c>
      <c r="E484" s="31" t="str">
        <f aca="false">IF(Raw_Data!E501="","",Raw_Data!E501)</f>
        <v>Shelter</v>
      </c>
      <c r="F484" s="31" t="str">
        <f aca="false">IF(Raw_Data!F501="","",Raw_Data!F501)</f>
        <v>Complaint</v>
      </c>
      <c r="G484" s="32" t="str">
        <f aca="false">IF(Raw_Data!G501="","",Raw_Data!G501)</f>
        <v>Non-Sensitive</v>
      </c>
      <c r="H484" s="32" t="str">
        <f aca="false">IFERROR(INDEX(Reference_Lists!$C$51:$C$57,MATCH(PROPER(TRIM(Raw_Data!H501)),Reference_Lists!$B$51:$B$57,0)),"UNMATCHED")</f>
        <v>Male</v>
      </c>
      <c r="I484" s="32" t="str">
        <f aca="false">IF(Raw_Data!I501="","",Raw_Data!I501)</f>
        <v>60+</v>
      </c>
      <c r="J484" s="32" t="str">
        <f aca="false">IFERROR(INDEX(Reference_Lists!$C$58:$C$65,MATCH(PROPER(TRIM(Raw_Data!J501)),Reference_Lists!$B$58:$B$65,0)),"UNMATCHED")</f>
        <v>In Progress</v>
      </c>
      <c r="K484" s="30" t="str">
        <f aca="false">IF(Raw_Data!K501="","",IF(ISTEXT(Raw_Data!K501),IFERROR(DATE(VALUE(RIGHT(TRIM(Raw_Data!K501),4)),VALUE(MID(TRIM(Raw_Data!K501),4,2)),VALUE(LEFT(TRIM(Raw_Data!K501),2))),"CHECK"),Raw_Data!K501))</f>
        <v/>
      </c>
      <c r="L484" s="33" t="str">
        <f aca="false">IF(Raw_Data!L501="","",Raw_Data!L501)</f>
        <v>Requesting information about the criteria for shelter repair kits.</v>
      </c>
      <c r="M484" s="34" t="str">
        <f aca="false">IF(OR(B484="",K484=""),"",IFERROR(K484-B484,"CHECK"))</f>
        <v/>
      </c>
      <c r="N484" s="34" t="n">
        <f aca="false">IFERROR(INDEX(Reference_Lists!$H$13:$H$14,MATCH(G484,Reference_Lists!$G$13:$G$14,0)),"UNMATCHED")</f>
        <v>15</v>
      </c>
      <c r="O484" s="32" t="str">
        <f aca="false">IF(AND(J484="Closed",ISNUMBER(M484),ISNUMBER(N484),M484&gt;=0),M484&lt;=N484,"NOT ASSESSED")</f>
        <v>NOT ASSESSED</v>
      </c>
      <c r="P484" s="36" t="str">
        <f aca="false">Raw_Data!A501</f>
        <v>CFM-2026-0199</v>
      </c>
      <c r="Q484" s="37" t="str">
        <f aca="false">IFERROR(IF(OR($A484="",$P484=""),"MISSING ID",IF(EXACT($A484,$P484),"ALIGNED","MISMATCH")),"CHECK")</f>
        <v>ALIGNED</v>
      </c>
    </row>
    <row r="485" customFormat="false" ht="19.5" hidden="false" customHeight="true" outlineLevel="0" collapsed="false">
      <c r="A485" s="29" t="s">
        <v>613</v>
      </c>
      <c r="B485" s="30" t="n">
        <f aca="false">IF(Raw_Data!B502="","",IF(ISTEXT(Raw_Data!B502),IFERROR(DATE(VALUE(RIGHT(TRIM(Raw_Data!B502),4)),VALUE(MID(TRIM(Raw_Data!B502),4,2)),VALUE(LEFT(TRIM(Raw_Data!B502),2))),"CHECK"),Raw_Data!B502))</f>
        <v>46075</v>
      </c>
      <c r="C485" s="31" t="str">
        <f aca="false">IFERROR(INDEX(Reference_Lists!$C$23:$C$35,MATCH(PROPER(TRIM(Raw_Data!C502)),Reference_Lists!$B$23:$B$35,0)),"UNMATCHED")</f>
        <v>Phone Hotline</v>
      </c>
      <c r="D485" s="31" t="str">
        <f aca="false">IFERROR(INDEX(Reference_Lists!$C$36:$C$50,MATCH(PROPER(TRIM(Raw_Data!D502)),Reference_Lists!$B$36:$B$50,0)),"UNMATCHED")</f>
        <v>Khan Yunis</v>
      </c>
      <c r="E485" s="31" t="str">
        <f aca="false">IF(Raw_Data!E502="","",Raw_Data!E502)</f>
        <v>Food Security</v>
      </c>
      <c r="F485" s="31" t="str">
        <f aca="false">IF(Raw_Data!F502="","",Raw_Data!F502)</f>
        <v>Request for Information</v>
      </c>
      <c r="G485" s="32" t="str">
        <f aca="false">IF(Raw_Data!G502="","",Raw_Data!G502)</f>
        <v>Non-Sensitive</v>
      </c>
      <c r="H485" s="32" t="str">
        <f aca="false">IFERROR(INDEX(Reference_Lists!$C$51:$C$57,MATCH(PROPER(TRIM(Raw_Data!H502)),Reference_Lists!$B$51:$B$57,0)),"UNMATCHED")</f>
        <v>Male</v>
      </c>
      <c r="I485" s="32" t="str">
        <f aca="false">IF(Raw_Data!I502="","",Raw_Data!I502)</f>
        <v>45-59</v>
      </c>
      <c r="J485" s="32" t="str">
        <f aca="false">IFERROR(INDEX(Reference_Lists!$C$58:$C$65,MATCH(PROPER(TRIM(Raw_Data!J502)),Reference_Lists!$B$58:$B$65,0)),"UNMATCHED")</f>
        <v>Closed</v>
      </c>
      <c r="K485" s="30" t="n">
        <f aca="false">IF(Raw_Data!K502="","",IF(ISTEXT(Raw_Data!K502),IFERROR(DATE(VALUE(RIGHT(TRIM(Raw_Data!K502),4)),VALUE(MID(TRIM(Raw_Data!K502),4,2)),VALUE(LEFT(TRIM(Raw_Data!K502),2))),"CHECK"),Raw_Data!K502))</f>
        <v>46087</v>
      </c>
      <c r="L485" s="33" t="str">
        <f aca="false">IF(Raw_Data!L502="","",Raw_Data!L502)</f>
        <v>Thanking the team for organising the last distribution well.</v>
      </c>
      <c r="M485" s="34" t="n">
        <f aca="false">IF(OR(B485="",K485=""),"",IFERROR(K485-B485,"CHECK"))</f>
        <v>12</v>
      </c>
      <c r="N485" s="34" t="n">
        <f aca="false">IFERROR(INDEX(Reference_Lists!$H$13:$H$14,MATCH(G485,Reference_Lists!$G$13:$G$14,0)),"UNMATCHED")</f>
        <v>15</v>
      </c>
      <c r="O485" s="35" t="b">
        <f aca="false">IF(AND(J485="Closed",ISNUMBER(M485),ISNUMBER(N485),M485&gt;=0),M485&lt;=N485,"NOT ASSESSED")</f>
        <v>1</v>
      </c>
      <c r="P485" s="36" t="str">
        <f aca="false">Raw_Data!A502</f>
        <v>CFM-2026-0473</v>
      </c>
      <c r="Q485" s="37" t="str">
        <f aca="false">IFERROR(IF(OR($A485="",$P485=""),"MISSING ID",IF(EXACT($A485,$P485),"ALIGNED","MISMATCH")),"CHECK")</f>
        <v>ALIGNED</v>
      </c>
    </row>
    <row r="486" customFormat="false" ht="19.5" hidden="false" customHeight="true" outlineLevel="0" collapsed="false">
      <c r="A486" s="29" t="s">
        <v>614</v>
      </c>
      <c r="B486" s="30" t="n">
        <f aca="false">IF(Raw_Data!B503="","",IF(ISTEXT(Raw_Data!B503),IFERROR(DATE(VALUE(RIGHT(TRIM(Raw_Data!B503),4)),VALUE(MID(TRIM(Raw_Data!B503),4,2)),VALUE(LEFT(TRIM(Raw_Data!B503),2))),"CHECK"),Raw_Data!B503))</f>
        <v>46087</v>
      </c>
      <c r="C486" s="31" t="str">
        <f aca="false">IFERROR(INDEX(Reference_Lists!$C$23:$C$35,MATCH(PROPER(TRIM(Raw_Data!C503)),Reference_Lists!$B$23:$B$35,0)),"UNMATCHED")</f>
        <v>Community Focal Point</v>
      </c>
      <c r="D486" s="31" t="str">
        <f aca="false">IFERROR(INDEX(Reference_Lists!$C$36:$C$50,MATCH(PROPER(TRIM(Raw_Data!D503)),Reference_Lists!$B$36:$B$50,0)),"UNMATCHED")</f>
        <v>Deir al-Balah</v>
      </c>
      <c r="E486" s="31" t="str">
        <f aca="false">IF(Raw_Data!E503="","",Raw_Data!E503)</f>
        <v/>
      </c>
      <c r="F486" s="31" t="str">
        <f aca="false">IF(Raw_Data!F503="","",Raw_Data!F503)</f>
        <v>Request for Information</v>
      </c>
      <c r="G486" s="32" t="str">
        <f aca="false">IF(Raw_Data!G503="","",Raw_Data!G503)</f>
        <v>Non-Sensitive</v>
      </c>
      <c r="H486" s="32" t="str">
        <f aca="false">IFERROR(INDEX(Reference_Lists!$C$51:$C$57,MATCH(PROPER(TRIM(Raw_Data!H503)),Reference_Lists!$B$51:$B$57,0)),"UNMATCHED")</f>
        <v>Female</v>
      </c>
      <c r="I486" s="32" t="str">
        <f aca="false">IF(Raw_Data!I503="","",Raw_Data!I503)</f>
        <v>45-59</v>
      </c>
      <c r="J486" s="32" t="str">
        <f aca="false">IFERROR(INDEX(Reference_Lists!$C$58:$C$65,MATCH(PROPER(TRIM(Raw_Data!J503)),Reference_Lists!$B$58:$B$65,0)),"UNMATCHED")</f>
        <v>Closed</v>
      </c>
      <c r="K486" s="30" t="n">
        <f aca="false">IF(Raw_Data!K503="","",IF(ISTEXT(Raw_Data!K503),IFERROR(DATE(VALUE(RIGHT(TRIM(Raw_Data!K503),4)),VALUE(MID(TRIM(Raw_Data!K503),4,2)),VALUE(LEFT(TRIM(Raw_Data!K503),2))),"CHECK"),Raw_Data!K503))</f>
        <v>46097</v>
      </c>
      <c r="L486" s="33" t="str">
        <f aca="false">IF(Raw_Data!L503="","",Raw_Data!L503)</f>
        <v>Latrine at the site block needs cleaning and lighting at night.</v>
      </c>
      <c r="M486" s="34" t="n">
        <f aca="false">IF(OR(B486="",K486=""),"",IFERROR(K486-B486,"CHECK"))</f>
        <v>10</v>
      </c>
      <c r="N486" s="34" t="n">
        <f aca="false">IFERROR(INDEX(Reference_Lists!$H$13:$H$14,MATCH(G486,Reference_Lists!$G$13:$G$14,0)),"UNMATCHED")</f>
        <v>15</v>
      </c>
      <c r="O486" s="35" t="b">
        <f aca="false">IF(AND(J486="Closed",ISNUMBER(M486),ISNUMBER(N486),M486&gt;=0),M486&lt;=N486,"NOT ASSESSED")</f>
        <v>1</v>
      </c>
      <c r="P486" s="36" t="str">
        <f aca="false">Raw_Data!A503</f>
        <v>CFM-2026-0056</v>
      </c>
      <c r="Q486" s="37" t="str">
        <f aca="false">IFERROR(IF(OR($A486="",$P486=""),"MISSING ID",IF(EXACT($A486,$P486),"ALIGNED","MISMATCH")),"CHECK")</f>
        <v>ALIGNED</v>
      </c>
    </row>
    <row r="487" customFormat="false" ht="19.5" hidden="false" customHeight="true" outlineLevel="0" collapsed="false">
      <c r="A487" s="29" t="s">
        <v>615</v>
      </c>
      <c r="B487" s="30" t="n">
        <f aca="false">IF(Raw_Data!B504="","",IF(ISTEXT(Raw_Data!B504),IFERROR(DATE(VALUE(RIGHT(TRIM(Raw_Data!B504),4)),VALUE(MID(TRIM(Raw_Data!B504),4,2)),VALUE(LEFT(TRIM(Raw_Data!B504),2))),"CHECK"),Raw_Data!B504))</f>
        <v>46060</v>
      </c>
      <c r="C487" s="31" t="str">
        <f aca="false">IFERROR(INDEX(Reference_Lists!$C$23:$C$35,MATCH(PROPER(TRIM(Raw_Data!C504)),Reference_Lists!$B$23:$B$35,0)),"UNMATCHED")</f>
        <v>Help Desk</v>
      </c>
      <c r="D487" s="31" t="str">
        <f aca="false">IFERROR(INDEX(Reference_Lists!$C$36:$C$50,MATCH(PROPER(TRIM(Raw_Data!D504)),Reference_Lists!$B$36:$B$50,0)),"UNMATCHED")</f>
        <v>Khan Yunis</v>
      </c>
      <c r="E487" s="31" t="str">
        <f aca="false">IF(Raw_Data!E504="","",Raw_Data!E504)</f>
        <v>Shelter</v>
      </c>
      <c r="F487" s="31" t="str">
        <f aca="false">IF(Raw_Data!F504="","",Raw_Data!F504)</f>
        <v>Suggestion</v>
      </c>
      <c r="G487" s="32" t="str">
        <f aca="false">IF(Raw_Data!G504="","",Raw_Data!G504)</f>
        <v>Non-Sensitive</v>
      </c>
      <c r="H487" s="32" t="str">
        <f aca="false">IFERROR(INDEX(Reference_Lists!$C$51:$C$57,MATCH(PROPER(TRIM(Raw_Data!H504)),Reference_Lists!$B$51:$B$57,0)),"UNMATCHED")</f>
        <v>Male</v>
      </c>
      <c r="I487" s="32" t="str">
        <f aca="false">IF(Raw_Data!I504="","",Raw_Data!I504)</f>
        <v>60+</v>
      </c>
      <c r="J487" s="32" t="str">
        <f aca="false">IFERROR(INDEX(Reference_Lists!$C$58:$C$65,MATCH(PROPER(TRIM(Raw_Data!J504)),Reference_Lists!$B$58:$B$65,0)),"UNMATCHED")</f>
        <v>Referred</v>
      </c>
      <c r="K487" s="30" t="str">
        <f aca="false">IF(Raw_Data!K504="","",IF(ISTEXT(Raw_Data!K504),IFERROR(DATE(VALUE(RIGHT(TRIM(Raw_Data!K504),4)),VALUE(MID(TRIM(Raw_Data!K504),4,2)),VALUE(LEFT(TRIM(Raw_Data!K504),2))),"CHECK"),Raw_Data!K504))</f>
        <v/>
      </c>
      <c r="L487" s="33" t="str">
        <f aca="false">IF(Raw_Data!L504="","",Raw_Data!L504)</f>
        <v>Shelter kit delivered on time and the team explained the use clearly.</v>
      </c>
      <c r="M487" s="34" t="str">
        <f aca="false">IF(OR(B487="",K487=""),"",IFERROR(K487-B487,"CHECK"))</f>
        <v/>
      </c>
      <c r="N487" s="34" t="n">
        <f aca="false">IFERROR(INDEX(Reference_Lists!$H$13:$H$14,MATCH(G487,Reference_Lists!$G$13:$G$14,0)),"UNMATCHED")</f>
        <v>15</v>
      </c>
      <c r="O487" s="32" t="str">
        <f aca="false">IF(AND(J487="Closed",ISNUMBER(M487),ISNUMBER(N487),M487&gt;=0),M487&lt;=N487,"NOT ASSESSED")</f>
        <v>NOT ASSESSED</v>
      </c>
      <c r="P487" s="36" t="str">
        <f aca="false">Raw_Data!A504</f>
        <v>CFM-2026-0083</v>
      </c>
      <c r="Q487" s="37" t="str">
        <f aca="false">IFERROR(IF(OR($A487="",$P487=""),"MISSING ID",IF(EXACT($A487,$P487),"ALIGNED","MISMATCH")),"CHECK")</f>
        <v>ALIGNED</v>
      </c>
    </row>
    <row r="488" customFormat="false" ht="19.5" hidden="false" customHeight="true" outlineLevel="0" collapsed="false">
      <c r="A488" s="29" t="s">
        <v>616</v>
      </c>
      <c r="B488" s="30" t="n">
        <f aca="false">IF(Raw_Data!B505="","",IF(ISTEXT(Raw_Data!B505),IFERROR(DATE(VALUE(RIGHT(TRIM(Raw_Data!B505),4)),VALUE(MID(TRIM(Raw_Data!B505),4,2)),VALUE(LEFT(TRIM(Raw_Data!B505),2))),"CHECK"),Raw_Data!B505))</f>
        <v>46054</v>
      </c>
      <c r="C488" s="31" t="str">
        <f aca="false">IFERROR(INDEX(Reference_Lists!$C$23:$C$35,MATCH(PROPER(TRIM(Raw_Data!C505)),Reference_Lists!$B$23:$B$35,0)),"UNMATCHED")</f>
        <v>In-Person at Distribution</v>
      </c>
      <c r="D488" s="31" t="str">
        <f aca="false">IFERROR(INDEX(Reference_Lists!$C$36:$C$50,MATCH(PROPER(TRIM(Raw_Data!D505)),Reference_Lists!$B$36:$B$50,0)),"UNMATCHED")</f>
        <v>Deir al-Balah</v>
      </c>
      <c r="E488" s="31" t="str">
        <f aca="false">IF(Raw_Data!E505="","",Raw_Data!E505)</f>
        <v>Food Security</v>
      </c>
      <c r="F488" s="31" t="str">
        <f aca="false">IF(Raw_Data!F505="","",Raw_Data!F505)</f>
        <v>Sensitive Complaint</v>
      </c>
      <c r="G488" s="32" t="str">
        <f aca="false">IF(Raw_Data!G505="","",Raw_Data!G505)</f>
        <v>Sensitive</v>
      </c>
      <c r="H488" s="32" t="str">
        <f aca="false">IFERROR(INDEX(Reference_Lists!$C$51:$C$57,MATCH(PROPER(TRIM(Raw_Data!H505)),Reference_Lists!$B$51:$B$57,0)),"UNMATCHED")</f>
        <v>Male</v>
      </c>
      <c r="I488" s="32" t="str">
        <f aca="false">IF(Raw_Data!I505="","",Raw_Data!I505)</f>
        <v>30-44</v>
      </c>
      <c r="J488" s="32" t="str">
        <f aca="false">IFERROR(INDEX(Reference_Lists!$C$58:$C$65,MATCH(PROPER(TRIM(Raw_Data!J505)),Reference_Lists!$B$58:$B$65,0)),"UNMATCHED")</f>
        <v>Closed</v>
      </c>
      <c r="K488" s="30" t="n">
        <f aca="false">IF(Raw_Data!K505="","",IF(ISTEXT(Raw_Data!K505),IFERROR(DATE(VALUE(RIGHT(TRIM(Raw_Data!K505),4)),VALUE(MID(TRIM(Raw_Data!K505),4,2)),VALUE(LEFT(TRIM(Raw_Data!K505),2))),"CHECK"),Raw_Data!K505))</f>
        <v>46078</v>
      </c>
      <c r="L488" s="33" t="str">
        <f aca="false">IF(Raw_Data!L505="","",Raw_Data!L505)</f>
        <v>Sensitive case - details recorded separately by the focal point; not stored in this tracker.</v>
      </c>
      <c r="M488" s="34" t="n">
        <f aca="false">IF(OR(B488="",K488=""),"",IFERROR(K488-B488,"CHECK"))</f>
        <v>24</v>
      </c>
      <c r="N488" s="34" t="n">
        <f aca="false">IFERROR(INDEX(Reference_Lists!$H$13:$H$14,MATCH(G488,Reference_Lists!$G$13:$G$14,0)),"UNMATCHED")</f>
        <v>3</v>
      </c>
      <c r="O488" s="35" t="b">
        <f aca="false">IF(AND(J488="Closed",ISNUMBER(M488),ISNUMBER(N488),M488&gt;=0),M488&lt;=N488,"NOT ASSESSED")</f>
        <v>0</v>
      </c>
      <c r="P488" s="36" t="str">
        <f aca="false">Raw_Data!A505</f>
        <v>CFM-2026-0438</v>
      </c>
      <c r="Q488" s="37" t="str">
        <f aca="false">IFERROR(IF(OR($A488="",$P488=""),"MISSING ID",IF(EXACT($A488,$P488),"ALIGNED","MISMATCH")),"CHECK")</f>
        <v>ALIGNED</v>
      </c>
    </row>
    <row r="489" customFormat="false" ht="19.5" hidden="false" customHeight="true" outlineLevel="0" collapsed="false">
      <c r="A489" s="29" t="s">
        <v>617</v>
      </c>
      <c r="B489" s="30" t="n">
        <f aca="false">IF(Raw_Data!B506="","",IF(ISTEXT(Raw_Data!B506),IFERROR(DATE(VALUE(RIGHT(TRIM(Raw_Data!B506),4)),VALUE(MID(TRIM(Raw_Data!B506),4,2)),VALUE(LEFT(TRIM(Raw_Data!B506),2))),"CHECK"),Raw_Data!B506))</f>
        <v>46034</v>
      </c>
      <c r="C489" s="31" t="str">
        <f aca="false">IFERROR(INDEX(Reference_Lists!$C$23:$C$35,MATCH(PROPER(TRIM(Raw_Data!C506)),Reference_Lists!$B$23:$B$35,0)),"UNMATCHED")</f>
        <v>Suggestion Box</v>
      </c>
      <c r="D489" s="31" t="str">
        <f aca="false">IFERROR(INDEX(Reference_Lists!$C$36:$C$50,MATCH(PROPER(TRIM(Raw_Data!D506)),Reference_Lists!$B$36:$B$50,0)),"UNMATCHED")</f>
        <v>Jabalia</v>
      </c>
      <c r="E489" s="31" t="str">
        <f aca="false">IF(Raw_Data!E506="","",Raw_Data!E506)</f>
        <v>Shelter</v>
      </c>
      <c r="F489" s="31" t="str">
        <f aca="false">IF(Raw_Data!F506="","",Raw_Data!F506)</f>
        <v>Suggestion</v>
      </c>
      <c r="G489" s="32" t="str">
        <f aca="false">IF(Raw_Data!G506="","",Raw_Data!G506)</f>
        <v>Non-Sensitive</v>
      </c>
      <c r="H489" s="32" t="str">
        <f aca="false">IFERROR(INDEX(Reference_Lists!$C$51:$C$57,MATCH(PROPER(TRIM(Raw_Data!H506)),Reference_Lists!$B$51:$B$57,0)),"UNMATCHED")</f>
        <v>Female</v>
      </c>
      <c r="I489" s="32" t="str">
        <f aca="false">IF(Raw_Data!I506="","",Raw_Data!I506)</f>
        <v>18-29</v>
      </c>
      <c r="J489" s="32" t="str">
        <f aca="false">IFERROR(INDEX(Reference_Lists!$C$58:$C$65,MATCH(PROPER(TRIM(Raw_Data!J506)),Reference_Lists!$B$58:$B$65,0)),"UNMATCHED")</f>
        <v>Closed</v>
      </c>
      <c r="K489" s="30" t="n">
        <f aca="false">IF(Raw_Data!K506="","",IF(ISTEXT(Raw_Data!K506),IFERROR(DATE(VALUE(RIGHT(TRIM(Raw_Data!K506),4)),VALUE(MID(TRIM(Raw_Data!K506),4,2)),VALUE(LEFT(TRIM(Raw_Data!K506),2))),"CHECK"),Raw_Data!K506))</f>
        <v>46036</v>
      </c>
      <c r="L489" s="33" t="str">
        <f aca="false">IF(Raw_Data!L506="","",Raw_Data!L506)</f>
        <v>Requesting information about the criteria for shelter repair kits.</v>
      </c>
      <c r="M489" s="34" t="n">
        <f aca="false">IF(OR(B489="",K489=""),"",IFERROR(K489-B489,"CHECK"))</f>
        <v>2</v>
      </c>
      <c r="N489" s="34" t="n">
        <f aca="false">IFERROR(INDEX(Reference_Lists!$H$13:$H$14,MATCH(G489,Reference_Lists!$G$13:$G$14,0)),"UNMATCHED")</f>
        <v>15</v>
      </c>
      <c r="O489" s="35" t="b">
        <f aca="false">IF(AND(J489="Closed",ISNUMBER(M489),ISNUMBER(N489),M489&gt;=0),M489&lt;=N489,"NOT ASSESSED")</f>
        <v>1</v>
      </c>
      <c r="P489" s="36" t="str">
        <f aca="false">Raw_Data!A506</f>
        <v>CFM-2026-0232</v>
      </c>
      <c r="Q489" s="37" t="str">
        <f aca="false">IFERROR(IF(OR($A489="",$P489=""),"MISSING ID",IF(EXACT($A489,$P489),"ALIGNED","MISMATCH")),"CHECK")</f>
        <v>ALIGNED</v>
      </c>
    </row>
    <row r="490" customFormat="false" ht="19.5" hidden="false" customHeight="true" outlineLevel="0" collapsed="false">
      <c r="A490" s="29" t="s">
        <v>618</v>
      </c>
      <c r="B490" s="30" t="n">
        <f aca="false">IF(Raw_Data!B507="","",IF(ISTEXT(Raw_Data!B507),IFERROR(DATE(VALUE(RIGHT(TRIM(Raw_Data!B507),4)),VALUE(MID(TRIM(Raw_Data!B507),4,2)),VALUE(LEFT(TRIM(Raw_Data!B507),2))),"CHECK"),Raw_Data!B507))</f>
        <v>46055</v>
      </c>
      <c r="C490" s="31" t="str">
        <f aca="false">IFERROR(INDEX(Reference_Lists!$C$23:$C$35,MATCH(PROPER(TRIM(Raw_Data!C507)),Reference_Lists!$B$23:$B$35,0)),"UNMATCHED")</f>
        <v>In-Person at Distribution</v>
      </c>
      <c r="D490" s="31" t="str">
        <f aca="false">IFERROR(INDEX(Reference_Lists!$C$36:$C$50,MATCH(PROPER(TRIM(Raw_Data!D507)),Reference_Lists!$B$36:$B$50,0)),"UNMATCHED")</f>
        <v>Rafah</v>
      </c>
      <c r="E490" s="31" t="str">
        <f aca="false">IF(Raw_Data!E507="","",Raw_Data!E507)</f>
        <v>Food Security</v>
      </c>
      <c r="F490" s="31" t="str">
        <f aca="false">IF(Raw_Data!F507="","",Raw_Data!F507)</f>
        <v>Request for Information</v>
      </c>
      <c r="G490" s="32" t="str">
        <f aca="false">IF(Raw_Data!G507="","",Raw_Data!G507)</f>
        <v>Non-Sensitive</v>
      </c>
      <c r="H490" s="32" t="str">
        <f aca="false">IFERROR(INDEX(Reference_Lists!$C$51:$C$57,MATCH(PROPER(TRIM(Raw_Data!H507)),Reference_Lists!$B$51:$B$57,0)),"UNMATCHED")</f>
        <v>Male</v>
      </c>
      <c r="I490" s="32" t="str">
        <f aca="false">IF(Raw_Data!I507="","",Raw_Data!I507)</f>
        <v>18-29</v>
      </c>
      <c r="J490" s="32" t="str">
        <f aca="false">IFERROR(INDEX(Reference_Lists!$C$58:$C$65,MATCH(PROPER(TRIM(Raw_Data!J507)),Reference_Lists!$B$58:$B$65,0)),"UNMATCHED")</f>
        <v>Closed</v>
      </c>
      <c r="K490" s="30" t="n">
        <f aca="false">IF(Raw_Data!K507="","",IF(ISTEXT(Raw_Data!K507),IFERROR(DATE(VALUE(RIGHT(TRIM(Raw_Data!K507),4)),VALUE(MID(TRIM(Raw_Data!K507),4,2)),VALUE(LEFT(TRIM(Raw_Data!K507),2))),"CHECK"),Raw_Data!K507))</f>
        <v>46079</v>
      </c>
      <c r="L490" s="33" t="str">
        <f aca="false">IF(Raw_Data!L507="","",Raw_Data!L507)</f>
        <v>Asking how the beneficiary list for the next round is prepared.</v>
      </c>
      <c r="M490" s="34" t="n">
        <f aca="false">IF(OR(B490="",K490=""),"",IFERROR(K490-B490,"CHECK"))</f>
        <v>24</v>
      </c>
      <c r="N490" s="34" t="n">
        <f aca="false">IFERROR(INDEX(Reference_Lists!$H$13:$H$14,MATCH(G490,Reference_Lists!$G$13:$G$14,0)),"UNMATCHED")</f>
        <v>15</v>
      </c>
      <c r="O490" s="35" t="b">
        <f aca="false">IF(AND(J490="Closed",ISNUMBER(M490),ISNUMBER(N490),M490&gt;=0),M490&lt;=N490,"NOT ASSESSED")</f>
        <v>0</v>
      </c>
      <c r="P490" s="36" t="str">
        <f aca="false">Raw_Data!A507</f>
        <v>CFM-2026-0296</v>
      </c>
      <c r="Q490" s="37" t="str">
        <f aca="false">IFERROR(IF(OR($A490="",$P490=""),"MISSING ID",IF(EXACT($A490,$P490),"ALIGNED","MISMATCH")),"CHECK")</f>
        <v>ALIGNED</v>
      </c>
    </row>
    <row r="491" customFormat="false" ht="19.5" hidden="false" customHeight="true" outlineLevel="0" collapsed="false">
      <c r="A491" s="29" t="s">
        <v>619</v>
      </c>
      <c r="B491" s="30" t="n">
        <f aca="false">IF(Raw_Data!B508="","",IF(ISTEXT(Raw_Data!B508),IFERROR(DATE(VALUE(RIGHT(TRIM(Raw_Data!B508),4)),VALUE(MID(TRIM(Raw_Data!B508),4,2)),VALUE(LEFT(TRIM(Raw_Data!B508),2))),"CHECK"),Raw_Data!B508))</f>
        <v>46139</v>
      </c>
      <c r="C491" s="31" t="str">
        <f aca="false">IFERROR(INDEX(Reference_Lists!$C$23:$C$35,MATCH(PROPER(TRIM(Raw_Data!C508)),Reference_Lists!$B$23:$B$35,0)),"UNMATCHED")</f>
        <v>Community Focal Point</v>
      </c>
      <c r="D491" s="31" t="str">
        <f aca="false">IFERROR(INDEX(Reference_Lists!$C$36:$C$50,MATCH(PROPER(TRIM(Raw_Data!D508)),Reference_Lists!$B$36:$B$50,0)),"UNMATCHED")</f>
        <v>Jabalia</v>
      </c>
      <c r="E491" s="31" t="str">
        <f aca="false">IF(Raw_Data!E508="","",Raw_Data!E508)</f>
        <v>Nutrition</v>
      </c>
      <c r="F491" s="31" t="str">
        <f aca="false">IF(Raw_Data!F508="","",Raw_Data!F508)</f>
        <v>Complaint</v>
      </c>
      <c r="G491" s="32" t="str">
        <f aca="false">IF(Raw_Data!G508="","",Raw_Data!G508)</f>
        <v>Non-Sensitive</v>
      </c>
      <c r="H491" s="32" t="str">
        <f aca="false">IFERROR(INDEX(Reference_Lists!$C$51:$C$57,MATCH(PROPER(TRIM(Raw_Data!H508)),Reference_Lists!$B$51:$B$57,0)),"UNMATCHED")</f>
        <v>Male</v>
      </c>
      <c r="I491" s="32" t="str">
        <f aca="false">IF(Raw_Data!I508="","",Raw_Data!I508)</f>
        <v>18-29</v>
      </c>
      <c r="J491" s="32" t="str">
        <f aca="false">IFERROR(INDEX(Reference_Lists!$C$58:$C$65,MATCH(PROPER(TRIM(Raw_Data!J508)),Reference_Lists!$B$58:$B$65,0)),"UNMATCHED")</f>
        <v>Referred</v>
      </c>
      <c r="K491" s="30" t="str">
        <f aca="false">IF(Raw_Data!K508="","",IF(ISTEXT(Raw_Data!K508),IFERROR(DATE(VALUE(RIGHT(TRIM(Raw_Data!K508),4)),VALUE(MID(TRIM(Raw_Data!K508),4,2)),VALUE(LEFT(TRIM(Raw_Data!K508),2))),"CHECK"),Raw_Data!K508))</f>
        <v/>
      </c>
      <c r="L491" s="33" t="str">
        <f aca="false">IF(Raw_Data!L508="","",Raw_Data!L508)</f>
        <v>Asking whether children above five are included in the screening.</v>
      </c>
      <c r="M491" s="34" t="str">
        <f aca="false">IF(OR(B491="",K491=""),"",IFERROR(K491-B491,"CHECK"))</f>
        <v/>
      </c>
      <c r="N491" s="34" t="n">
        <f aca="false">IFERROR(INDEX(Reference_Lists!$H$13:$H$14,MATCH(G491,Reference_Lists!$G$13:$G$14,0)),"UNMATCHED")</f>
        <v>15</v>
      </c>
      <c r="O491" s="32" t="str">
        <f aca="false">IF(AND(J491="Closed",ISNUMBER(M491),ISNUMBER(N491),M491&gt;=0),M491&lt;=N491,"NOT ASSESSED")</f>
        <v>NOT ASSESSED</v>
      </c>
      <c r="P491" s="36" t="str">
        <f aca="false">Raw_Data!A508</f>
        <v>CFM-2026-0141</v>
      </c>
      <c r="Q491" s="37" t="str">
        <f aca="false">IFERROR(IF(OR($A491="",$P491=""),"MISSING ID",IF(EXACT($A491,$P491),"ALIGNED","MISMATCH")),"CHECK")</f>
        <v>ALIGNED</v>
      </c>
    </row>
    <row r="492" customFormat="false" ht="19.5" hidden="false" customHeight="true" outlineLevel="0" collapsed="false">
      <c r="A492" s="29" t="s">
        <v>620</v>
      </c>
      <c r="B492" s="30" t="n">
        <f aca="false">IF(Raw_Data!B510="","",IF(ISTEXT(Raw_Data!B510),IFERROR(DATE(VALUE(RIGHT(TRIM(Raw_Data!B510),4)),VALUE(MID(TRIM(Raw_Data!B510),4,2)),VALUE(LEFT(TRIM(Raw_Data!B510),2))),"CHECK"),Raw_Data!B510))</f>
        <v>46150</v>
      </c>
      <c r="C492" s="31" t="str">
        <f aca="false">IFERROR(INDEX(Reference_Lists!$C$23:$C$35,MATCH(PROPER(TRIM(Raw_Data!C510)),Reference_Lists!$B$23:$B$35,0)),"UNMATCHED")</f>
        <v>Phone Hotline</v>
      </c>
      <c r="D492" s="31" t="str">
        <f aca="false">IFERROR(INDEX(Reference_Lists!$C$36:$C$50,MATCH(PROPER(TRIM(Raw_Data!D510)),Reference_Lists!$B$36:$B$50,0)),"UNMATCHED")</f>
        <v>Rafah</v>
      </c>
      <c r="E492" s="31" t="str">
        <f aca="false">IF(Raw_Data!E510="","",Raw_Data!E510)</f>
        <v>Health</v>
      </c>
      <c r="F492" s="31" t="str">
        <f aca="false">IF(Raw_Data!F510="","",Raw_Data!F510)</f>
        <v>Sensitive Complaint</v>
      </c>
      <c r="G492" s="32" t="str">
        <f aca="false">IF(Raw_Data!G510="","",Raw_Data!G510)</f>
        <v>Sensitive</v>
      </c>
      <c r="H492" s="32" t="str">
        <f aca="false">IFERROR(INDEX(Reference_Lists!$C$51:$C$57,MATCH(PROPER(TRIM(Raw_Data!H510)),Reference_Lists!$B$51:$B$57,0)),"UNMATCHED")</f>
        <v>Male</v>
      </c>
      <c r="I492" s="32" t="str">
        <f aca="false">IF(Raw_Data!I510="","",Raw_Data!I510)</f>
        <v>30-44</v>
      </c>
      <c r="J492" s="32" t="str">
        <f aca="false">IFERROR(INDEX(Reference_Lists!$C$58:$C$65,MATCH(PROPER(TRIM(Raw_Data!J510)),Reference_Lists!$B$58:$B$65,0)),"UNMATCHED")</f>
        <v>Closed</v>
      </c>
      <c r="K492" s="30" t="n">
        <f aca="false">IF(Raw_Data!K510="","",IF(ISTEXT(Raw_Data!K510),IFERROR(DATE(VALUE(RIGHT(TRIM(Raw_Data!K510),4)),VALUE(MID(TRIM(Raw_Data!K510),4,2)),VALUE(LEFT(TRIM(Raw_Data!K510),2))),"CHECK"),Raw_Data!K510))</f>
        <v>46163</v>
      </c>
      <c r="L492" s="33" t="str">
        <f aca="false">IF(Raw_Data!L510="","",Raw_Data!L510)</f>
        <v>Sensitive case - details recorded separately by the focal point; not stored in this tracker.</v>
      </c>
      <c r="M492" s="34" t="n">
        <f aca="false">IF(OR(B492="",K492=""),"",IFERROR(K492-B492,"CHECK"))</f>
        <v>13</v>
      </c>
      <c r="N492" s="34" t="n">
        <f aca="false">IFERROR(INDEX(Reference_Lists!$H$13:$H$14,MATCH(G492,Reference_Lists!$G$13:$G$14,0)),"UNMATCHED")</f>
        <v>3</v>
      </c>
      <c r="O492" s="35" t="b">
        <f aca="false">IF(AND(J492="Closed",ISNUMBER(M492),ISNUMBER(N492),M492&gt;=0),M492&lt;=N492,"NOT ASSESSED")</f>
        <v>0</v>
      </c>
      <c r="P492" s="36" t="str">
        <f aca="false">Raw_Data!A510</f>
        <v>CFM-2026-0067</v>
      </c>
      <c r="Q492" s="37" t="str">
        <f aca="false">IFERROR(IF(OR($A492="",$P492=""),"MISSING ID",IF(EXACT($A492,$P492),"ALIGNED","MISMATCH")),"CHECK")</f>
        <v>ALIGNED</v>
      </c>
    </row>
    <row r="493" customFormat="false" ht="19.5" hidden="false" customHeight="true" outlineLevel="0" collapsed="false">
      <c r="A493" s="29" t="s">
        <v>621</v>
      </c>
      <c r="B493" s="30" t="n">
        <f aca="false">IF(Raw_Data!B511="","",IF(ISTEXT(Raw_Data!B511),IFERROR(DATE(VALUE(RIGHT(TRIM(Raw_Data!B511),4)),VALUE(MID(TRIM(Raw_Data!B511),4,2)),VALUE(LEFT(TRIM(Raw_Data!B511),2))),"CHECK"),Raw_Data!B511))</f>
        <v>46091</v>
      </c>
      <c r="C493" s="31" t="str">
        <f aca="false">IFERROR(INDEX(Reference_Lists!$C$23:$C$35,MATCH(PROPER(TRIM(Raw_Data!C511)),Reference_Lists!$B$23:$B$35,0)),"UNMATCHED")</f>
        <v>Community Focal Point</v>
      </c>
      <c r="D493" s="31" t="str">
        <f aca="false">IFERROR(INDEX(Reference_Lists!$C$36:$C$50,MATCH(PROPER(TRIM(Raw_Data!D511)),Reference_Lists!$B$36:$B$50,0)),"UNMATCHED")</f>
        <v>Gaza City</v>
      </c>
      <c r="E493" s="31" t="str">
        <f aca="false">IF(Raw_Data!E511="","",Raw_Data!E511)</f>
        <v>Food Security</v>
      </c>
      <c r="F493" s="31" t="str">
        <f aca="false">IF(Raw_Data!F511="","",Raw_Data!F511)</f>
        <v>Appreciation</v>
      </c>
      <c r="G493" s="32" t="str">
        <f aca="false">IF(Raw_Data!G511="","",Raw_Data!G511)</f>
        <v>Non-Sensitive</v>
      </c>
      <c r="H493" s="32" t="str">
        <f aca="false">IFERROR(INDEX(Reference_Lists!$C$51:$C$57,MATCH(PROPER(TRIM(Raw_Data!H511)),Reference_Lists!$B$51:$B$57,0)),"UNMATCHED")</f>
        <v>Male</v>
      </c>
      <c r="I493" s="32" t="str">
        <f aca="false">IF(Raw_Data!I511="","",Raw_Data!I511)</f>
        <v>18-29</v>
      </c>
      <c r="J493" s="32" t="str">
        <f aca="false">IFERROR(INDEX(Reference_Lists!$C$58:$C$65,MATCH(PROPER(TRIM(Raw_Data!J511)),Reference_Lists!$B$58:$B$65,0)),"UNMATCHED")</f>
        <v>Closed</v>
      </c>
      <c r="K493" s="30" t="str">
        <f aca="false">IF(Raw_Data!K511="","",IF(ISTEXT(Raw_Data!K511),IFERROR(DATE(VALUE(RIGHT(TRIM(Raw_Data!K511),4)),VALUE(MID(TRIM(Raw_Data!K511),4,2)),VALUE(LEFT(TRIM(Raw_Data!K511),2))),"CHECK"),Raw_Data!K511))</f>
        <v/>
      </c>
      <c r="L493" s="33" t="str">
        <f aca="false">IF(Raw_Data!L511="","",Raw_Data!L511)</f>
        <v>Distribution point is far and transport cost is high for our family.</v>
      </c>
      <c r="M493" s="34" t="str">
        <f aca="false">IF(OR(B493="",K493=""),"",IFERROR(K493-B493,"CHECK"))</f>
        <v/>
      </c>
      <c r="N493" s="34" t="n">
        <f aca="false">IFERROR(INDEX(Reference_Lists!$H$13:$H$14,MATCH(G493,Reference_Lists!$G$13:$G$14,0)),"UNMATCHED")</f>
        <v>15</v>
      </c>
      <c r="O493" s="32" t="str">
        <f aca="false">IF(AND(J493="Closed",ISNUMBER(M493),ISNUMBER(N493),M493&gt;=0),M493&lt;=N493,"NOT ASSESSED")</f>
        <v>NOT ASSESSED</v>
      </c>
      <c r="P493" s="36" t="str">
        <f aca="false">Raw_Data!A511</f>
        <v>CFM-2026-0217</v>
      </c>
      <c r="Q493" s="37" t="str">
        <f aca="false">IFERROR(IF(OR($A493="",$P493=""),"MISSING ID",IF(EXACT($A493,$P493),"ALIGNED","MISMATCH")),"CHECK")</f>
        <v>ALIGNED</v>
      </c>
    </row>
    <row r="494" customFormat="false" ht="19.5" hidden="false" customHeight="true" outlineLevel="0" collapsed="false">
      <c r="A494" s="29" t="s">
        <v>622</v>
      </c>
      <c r="B494" s="30" t="n">
        <f aca="false">IF(Raw_Data!B512="","",IF(ISTEXT(Raw_Data!B512),IFERROR(DATE(VALUE(RIGHT(TRIM(Raw_Data!B512),4)),VALUE(MID(TRIM(Raw_Data!B512),4,2)),VALUE(LEFT(TRIM(Raw_Data!B512),2))),"CHECK"),Raw_Data!B512))</f>
        <v>46200</v>
      </c>
      <c r="C494" s="31" t="str">
        <f aca="false">IFERROR(INDEX(Reference_Lists!$C$23:$C$35,MATCH(PROPER(TRIM(Raw_Data!C512)),Reference_Lists!$B$23:$B$35,0)),"UNMATCHED")</f>
        <v>Help Desk</v>
      </c>
      <c r="D494" s="31" t="str">
        <f aca="false">IFERROR(INDEX(Reference_Lists!$C$36:$C$50,MATCH(PROPER(TRIM(Raw_Data!D512)),Reference_Lists!$B$36:$B$50,0)),"UNMATCHED")</f>
        <v>Rafah</v>
      </c>
      <c r="E494" s="31" t="str">
        <f aca="false">IF(Raw_Data!E512="","",Raw_Data!E512)</f>
        <v>Health</v>
      </c>
      <c r="F494" s="31" t="str">
        <f aca="false">IF(Raw_Data!F512="","",Raw_Data!F512)</f>
        <v>Complaint</v>
      </c>
      <c r="G494" s="32" t="str">
        <f aca="false">IF(Raw_Data!G512="","",Raw_Data!G512)</f>
        <v>Non-Sensitive</v>
      </c>
      <c r="H494" s="32" t="str">
        <f aca="false">IFERROR(INDEX(Reference_Lists!$C$51:$C$57,MATCH(PROPER(TRIM(Raw_Data!H512)),Reference_Lists!$B$51:$B$57,0)),"UNMATCHED")</f>
        <v>Male</v>
      </c>
      <c r="I494" s="32" t="str">
        <f aca="false">IF(Raw_Data!I512="","",Raw_Data!I512)</f>
        <v>30-44</v>
      </c>
      <c r="J494" s="32" t="str">
        <f aca="false">IFERROR(INDEX(Reference_Lists!$C$58:$C$65,MATCH(PROPER(TRIM(Raw_Data!J512)),Reference_Lists!$B$58:$B$65,0)),"UNMATCHED")</f>
        <v>In Progress</v>
      </c>
      <c r="K494" s="30" t="str">
        <f aca="false">IF(Raw_Data!K512="","",IF(ISTEXT(Raw_Data!K512),IFERROR(DATE(VALUE(RIGHT(TRIM(Raw_Data!K512),4)),VALUE(MID(TRIM(Raw_Data!K512),4,2)),VALUE(LEFT(TRIM(Raw_Data!K512),2))),"CHECK"),Raw_Data!K512))</f>
        <v/>
      </c>
      <c r="L494" s="33" t="str">
        <f aca="false">IF(Raw_Data!L512="","",Raw_Data!L512)</f>
        <v>Clinic opening hours are not clear to the community.</v>
      </c>
      <c r="M494" s="34" t="str">
        <f aca="false">IF(OR(B494="",K494=""),"",IFERROR(K494-B494,"CHECK"))</f>
        <v/>
      </c>
      <c r="N494" s="34" t="n">
        <f aca="false">IFERROR(INDEX(Reference_Lists!$H$13:$H$14,MATCH(G494,Reference_Lists!$G$13:$G$14,0)),"UNMATCHED")</f>
        <v>15</v>
      </c>
      <c r="O494" s="32" t="str">
        <f aca="false">IF(AND(J494="Closed",ISNUMBER(M494),ISNUMBER(N494),M494&gt;=0),M494&lt;=N494,"NOT ASSESSED")</f>
        <v>NOT ASSESSED</v>
      </c>
      <c r="P494" s="36" t="str">
        <f aca="false">Raw_Data!A512</f>
        <v>CFM-2026-0496</v>
      </c>
      <c r="Q494" s="37" t="str">
        <f aca="false">IFERROR(IF(OR($A494="",$P494=""),"MISSING ID",IF(EXACT($A494,$P494),"ALIGNED","MISMATCH")),"CHECK")</f>
        <v>ALIGNED</v>
      </c>
    </row>
    <row r="495" customFormat="false" ht="19.5" hidden="false" customHeight="true" outlineLevel="0" collapsed="false">
      <c r="A495" s="29" t="s">
        <v>623</v>
      </c>
      <c r="B495" s="30" t="n">
        <f aca="false">IF(Raw_Data!B513="","",IF(ISTEXT(Raw_Data!B513),IFERROR(DATE(VALUE(RIGHT(TRIM(Raw_Data!B513),4)),VALUE(MID(TRIM(Raw_Data!B513),4,2)),VALUE(LEFT(TRIM(Raw_Data!B513),2))),"CHECK"),Raw_Data!B513))</f>
        <v>46043</v>
      </c>
      <c r="C495" s="31" t="str">
        <f aca="false">IFERROR(INDEX(Reference_Lists!$C$23:$C$35,MATCH(PROPER(TRIM(Raw_Data!C513)),Reference_Lists!$B$23:$B$35,0)),"UNMATCHED")</f>
        <v>Help Desk</v>
      </c>
      <c r="D495" s="31" t="str">
        <f aca="false">IFERROR(INDEX(Reference_Lists!$C$36:$C$50,MATCH(PROPER(TRIM(Raw_Data!D513)),Reference_Lists!$B$36:$B$50,0)),"UNMATCHED")</f>
        <v>Rafah</v>
      </c>
      <c r="E495" s="31" t="str">
        <f aca="false">IF(Raw_Data!E513="","",Raw_Data!E513)</f>
        <v>Health</v>
      </c>
      <c r="F495" s="31" t="str">
        <f aca="false">IF(Raw_Data!F513="","",Raw_Data!F513)</f>
        <v>Appreciation</v>
      </c>
      <c r="G495" s="32" t="str">
        <f aca="false">IF(Raw_Data!G513="","",Raw_Data!G513)</f>
        <v>Non-Sensitive</v>
      </c>
      <c r="H495" s="32" t="str">
        <f aca="false">IFERROR(INDEX(Reference_Lists!$C$51:$C$57,MATCH(PROPER(TRIM(Raw_Data!H513)),Reference_Lists!$B$51:$B$57,0)),"UNMATCHED")</f>
        <v>Female</v>
      </c>
      <c r="I495" s="32" t="str">
        <f aca="false">IF(Raw_Data!I513="","",Raw_Data!I513)</f>
        <v>45-59</v>
      </c>
      <c r="J495" s="32" t="str">
        <f aca="false">IFERROR(INDEX(Reference_Lists!$C$58:$C$65,MATCH(PROPER(TRIM(Raw_Data!J513)),Reference_Lists!$B$58:$B$65,0)),"UNMATCHED")</f>
        <v>Closed</v>
      </c>
      <c r="K495" s="30" t="n">
        <f aca="false">IF(Raw_Data!K513="","",IF(ISTEXT(Raw_Data!K513),IFERROR(DATE(VALUE(RIGHT(TRIM(Raw_Data!K513),4)),VALUE(MID(TRIM(Raw_Data!K513),4,2)),VALUE(LEFT(TRIM(Raw_Data!K513),2))),"CHECK"),Raw_Data!K513))</f>
        <v>46058</v>
      </c>
      <c r="L495" s="33" t="str">
        <f aca="false">IF(Raw_Data!L513="","",Raw_Data!L513)</f>
        <v>Requesting a referral pathway for a family member with limited mobility.</v>
      </c>
      <c r="M495" s="34" t="n">
        <f aca="false">IF(OR(B495="",K495=""),"",IFERROR(K495-B495,"CHECK"))</f>
        <v>15</v>
      </c>
      <c r="N495" s="34" t="n">
        <f aca="false">IFERROR(INDEX(Reference_Lists!$H$13:$H$14,MATCH(G495,Reference_Lists!$G$13:$G$14,0)),"UNMATCHED")</f>
        <v>15</v>
      </c>
      <c r="O495" s="35" t="b">
        <f aca="false">IF(AND(J495="Closed",ISNUMBER(M495),ISNUMBER(N495),M495&gt;=0),M495&lt;=N495,"NOT ASSESSED")</f>
        <v>1</v>
      </c>
      <c r="P495" s="36" t="str">
        <f aca="false">Raw_Data!A513</f>
        <v>CFM-2026-0007</v>
      </c>
      <c r="Q495" s="37" t="str">
        <f aca="false">IFERROR(IF(OR($A495="",$P495=""),"MISSING ID",IF(EXACT($A495,$P495),"ALIGNED","MISMATCH")),"CHECK")</f>
        <v>ALIGNED</v>
      </c>
    </row>
    <row r="496" customFormat="false" ht="19.5" hidden="false" customHeight="true" outlineLevel="0" collapsed="false">
      <c r="A496" s="29" t="s">
        <v>624</v>
      </c>
      <c r="B496" s="30" t="n">
        <f aca="false">IF(Raw_Data!B514="","",IF(ISTEXT(Raw_Data!B514),IFERROR(DATE(VALUE(RIGHT(TRIM(Raw_Data!B514),4)),VALUE(MID(TRIM(Raw_Data!B514),4,2)),VALUE(LEFT(TRIM(Raw_Data!B514),2))),"CHECK"),Raw_Data!B514))</f>
        <v>46091</v>
      </c>
      <c r="C496" s="31" t="str">
        <f aca="false">IFERROR(INDEX(Reference_Lists!$C$23:$C$35,MATCH(PROPER(TRIM(Raw_Data!C514)),Reference_Lists!$B$23:$B$35,0)),"UNMATCHED")</f>
        <v>Phone Hotline</v>
      </c>
      <c r="D496" s="31" t="str">
        <f aca="false">IFERROR(INDEX(Reference_Lists!$C$36:$C$50,MATCH(PROPER(TRIM(Raw_Data!D514)),Reference_Lists!$B$36:$B$50,0)),"UNMATCHED")</f>
        <v>Rafah</v>
      </c>
      <c r="E496" s="31" t="str">
        <f aca="false">IF(Raw_Data!E514="","",Raw_Data!E514)</f>
        <v>Shelter</v>
      </c>
      <c r="F496" s="31" t="str">
        <f aca="false">IF(Raw_Data!F514="","",Raw_Data!F514)</f>
        <v>Sensitive Complaint</v>
      </c>
      <c r="G496" s="32" t="str">
        <f aca="false">IF(Raw_Data!G514="","",Raw_Data!G514)</f>
        <v>Sensitive</v>
      </c>
      <c r="H496" s="32" t="str">
        <f aca="false">IFERROR(INDEX(Reference_Lists!$C$51:$C$57,MATCH(PROPER(TRIM(Raw_Data!H514)),Reference_Lists!$B$51:$B$57,0)),"UNMATCHED")</f>
        <v>Female</v>
      </c>
      <c r="I496" s="32" t="str">
        <f aca="false">IF(Raw_Data!I514="","",Raw_Data!I514)</f>
        <v>30-44</v>
      </c>
      <c r="J496" s="32" t="str">
        <f aca="false">IFERROR(INDEX(Reference_Lists!$C$58:$C$65,MATCH(PROPER(TRIM(Raw_Data!J514)),Reference_Lists!$B$58:$B$65,0)),"UNMATCHED")</f>
        <v>Referred</v>
      </c>
      <c r="K496" s="30" t="str">
        <f aca="false">IF(Raw_Data!K514="","",IF(ISTEXT(Raw_Data!K514),IFERROR(DATE(VALUE(RIGHT(TRIM(Raw_Data!K514),4)),VALUE(MID(TRIM(Raw_Data!K514),4,2)),VALUE(LEFT(TRIM(Raw_Data!K514),2))),"CHECK"),Raw_Data!K514))</f>
        <v/>
      </c>
      <c r="L496" s="33" t="str">
        <f aca="false">IF(Raw_Data!L514="","",Raw_Data!L514)</f>
        <v>Sensitive case - details recorded separately by the focal point; not stored in this tracker.</v>
      </c>
      <c r="M496" s="34" t="str">
        <f aca="false">IF(OR(B496="",K496=""),"",IFERROR(K496-B496,"CHECK"))</f>
        <v/>
      </c>
      <c r="N496" s="34" t="n">
        <f aca="false">IFERROR(INDEX(Reference_Lists!$H$13:$H$14,MATCH(G496,Reference_Lists!$G$13:$G$14,0)),"UNMATCHED")</f>
        <v>3</v>
      </c>
      <c r="O496" s="32" t="str">
        <f aca="false">IF(AND(J496="Closed",ISNUMBER(M496),ISNUMBER(N496),M496&gt;=0),M496&lt;=N496,"NOT ASSESSED")</f>
        <v>NOT ASSESSED</v>
      </c>
      <c r="P496" s="36" t="str">
        <f aca="false">Raw_Data!A514</f>
        <v>CFM-2026-0051</v>
      </c>
      <c r="Q496" s="37" t="str">
        <f aca="false">IFERROR(IF(OR($A496="",$P496=""),"MISSING ID",IF(EXACT($A496,$P496),"ALIGNED","MISMATCH")),"CHECK")</f>
        <v>ALIGNED</v>
      </c>
    </row>
    <row r="497" customFormat="false" ht="19.5" hidden="false" customHeight="true" outlineLevel="0" collapsed="false">
      <c r="A497" s="29" t="s">
        <v>625</v>
      </c>
      <c r="B497" s="30" t="n">
        <f aca="false">IF(Raw_Data!B515="","",IF(ISTEXT(Raw_Data!B515),IFERROR(DATE(VALUE(RIGHT(TRIM(Raw_Data!B515),4)),VALUE(MID(TRIM(Raw_Data!B515),4,2)),VALUE(LEFT(TRIM(Raw_Data!B515),2))),"CHECK"),Raw_Data!B515))</f>
        <v>46175</v>
      </c>
      <c r="C497" s="31" t="str">
        <f aca="false">IFERROR(INDEX(Reference_Lists!$C$23:$C$35,MATCH(PROPER(TRIM(Raw_Data!C515)),Reference_Lists!$B$23:$B$35,0)),"UNMATCHED")</f>
        <v>Help Desk</v>
      </c>
      <c r="D497" s="31" t="str">
        <f aca="false">IFERROR(INDEX(Reference_Lists!$C$36:$C$50,MATCH(PROPER(TRIM(Raw_Data!D515)),Reference_Lists!$B$36:$B$50,0)),"UNMATCHED")</f>
        <v>Rafah</v>
      </c>
      <c r="E497" s="31" t="str">
        <f aca="false">IF(Raw_Data!E515="","",Raw_Data!E515)</f>
        <v>Nutrition</v>
      </c>
      <c r="F497" s="31" t="str">
        <f aca="false">IF(Raw_Data!F515="","",Raw_Data!F515)</f>
        <v>Appreciation</v>
      </c>
      <c r="G497" s="32" t="str">
        <f aca="false">IF(Raw_Data!G515="","",Raw_Data!G515)</f>
        <v>Non-Sensitive</v>
      </c>
      <c r="H497" s="32" t="str">
        <f aca="false">IFERROR(INDEX(Reference_Lists!$C$51:$C$57,MATCH(PROPER(TRIM(Raw_Data!H515)),Reference_Lists!$B$51:$B$57,0)),"UNMATCHED")</f>
        <v>Female</v>
      </c>
      <c r="I497" s="32" t="str">
        <f aca="false">IF(Raw_Data!I515="","",Raw_Data!I515)</f>
        <v>45-59</v>
      </c>
      <c r="J497" s="32" t="str">
        <f aca="false">IFERROR(INDEX(Reference_Lists!$C$58:$C$65,MATCH(PROPER(TRIM(Raw_Data!J515)),Reference_Lists!$B$58:$B$65,0)),"UNMATCHED")</f>
        <v>Closed</v>
      </c>
      <c r="K497" s="30" t="n">
        <f aca="false">IF(Raw_Data!K515="","",IF(ISTEXT(Raw_Data!K515),IFERROR(DATE(VALUE(RIGHT(TRIM(Raw_Data!K515),4)),VALUE(MID(TRIM(Raw_Data!K515),4,2)),VALUE(LEFT(TRIM(Raw_Data!K515),2))),"CHECK"),Raw_Data!K515))</f>
        <v>46182</v>
      </c>
      <c r="L497" s="33" t="str">
        <f aca="false">IF(Raw_Data!L515="","",Raw_Data!L515)</f>
        <v>Asking whether children above five are included in the screening.</v>
      </c>
      <c r="M497" s="34" t="n">
        <f aca="false">IF(OR(B497="",K497=""),"",IFERROR(K497-B497,"CHECK"))</f>
        <v>7</v>
      </c>
      <c r="N497" s="34" t="n">
        <f aca="false">IFERROR(INDEX(Reference_Lists!$H$13:$H$14,MATCH(G497,Reference_Lists!$G$13:$G$14,0)),"UNMATCHED")</f>
        <v>15</v>
      </c>
      <c r="O497" s="35" t="b">
        <f aca="false">IF(AND(J497="Closed",ISNUMBER(M497),ISNUMBER(N497),M497&gt;=0),M497&lt;=N497,"NOT ASSESSED")</f>
        <v>1</v>
      </c>
      <c r="P497" s="36" t="str">
        <f aca="false">Raw_Data!A515</f>
        <v>CFM-2026-0187</v>
      </c>
      <c r="Q497" s="37" t="str">
        <f aca="false">IFERROR(IF(OR($A497="",$P497=""),"MISSING ID",IF(EXACT($A497,$P497),"ALIGNED","MISMATCH")),"CHECK")</f>
        <v>ALIGNED</v>
      </c>
    </row>
    <row r="498" customFormat="false" ht="19.5" hidden="false" customHeight="true" outlineLevel="0" collapsed="false">
      <c r="A498" s="29" t="s">
        <v>626</v>
      </c>
      <c r="B498" s="30" t="n">
        <f aca="false">IF(Raw_Data!B516="","",IF(ISTEXT(Raw_Data!B516),IFERROR(DATE(VALUE(RIGHT(TRIM(Raw_Data!B516),4)),VALUE(MID(TRIM(Raw_Data!B516),4,2)),VALUE(LEFT(TRIM(Raw_Data!B516),2))),"CHECK"),Raw_Data!B516))</f>
        <v>46116</v>
      </c>
      <c r="C498" s="31" t="str">
        <f aca="false">IFERROR(INDEX(Reference_Lists!$C$23:$C$35,MATCH(PROPER(TRIM(Raw_Data!C516)),Reference_Lists!$B$23:$B$35,0)),"UNMATCHED")</f>
        <v>Suggestion Box</v>
      </c>
      <c r="D498" s="31" t="str">
        <f aca="false">IFERROR(INDEX(Reference_Lists!$C$36:$C$50,MATCH(PROPER(TRIM(Raw_Data!D516)),Reference_Lists!$B$36:$B$50,0)),"UNMATCHED")</f>
        <v>Deir al-Balah</v>
      </c>
      <c r="E498" s="31" t="str">
        <f aca="false">IF(Raw_Data!E516="","",Raw_Data!E516)</f>
        <v>Nutrition</v>
      </c>
      <c r="F498" s="31" t="str">
        <f aca="false">IF(Raw_Data!F516="","",Raw_Data!F516)</f>
        <v>Complaint</v>
      </c>
      <c r="G498" s="32" t="str">
        <f aca="false">IF(Raw_Data!G516="","",Raw_Data!G516)</f>
        <v>Non-Sensitive</v>
      </c>
      <c r="H498" s="32" t="str">
        <f aca="false">IFERROR(INDEX(Reference_Lists!$C$51:$C$57,MATCH(PROPER(TRIM(Raw_Data!H516)),Reference_Lists!$B$51:$B$57,0)),"UNMATCHED")</f>
        <v>Female</v>
      </c>
      <c r="I498" s="32" t="str">
        <f aca="false">IF(Raw_Data!I516="","",Raw_Data!I516)</f>
        <v>30-44</v>
      </c>
      <c r="J498" s="32" t="str">
        <f aca="false">IFERROR(INDEX(Reference_Lists!$C$58:$C$65,MATCH(PROPER(TRIM(Raw_Data!J516)),Reference_Lists!$B$58:$B$65,0)),"UNMATCHED")</f>
        <v>Closed</v>
      </c>
      <c r="K498" s="30" t="n">
        <f aca="false">IF(Raw_Data!K516="","",IF(ISTEXT(Raw_Data!K516),IFERROR(DATE(VALUE(RIGHT(TRIM(Raw_Data!K516),4)),VALUE(MID(TRIM(Raw_Data!K516),4,2)),VALUE(LEFT(TRIM(Raw_Data!K516),2))),"CHECK"),Raw_Data!K516))</f>
        <v>46119</v>
      </c>
      <c r="L498" s="33" t="str">
        <f aca="false">IF(Raw_Data!L516="","",Raw_Data!L516)</f>
        <v>Requesting a screening session closer to the northern shelter.</v>
      </c>
      <c r="M498" s="34" t="n">
        <f aca="false">IF(OR(B498="",K498=""),"",IFERROR(K498-B498,"CHECK"))</f>
        <v>3</v>
      </c>
      <c r="N498" s="34" t="n">
        <f aca="false">IFERROR(INDEX(Reference_Lists!$H$13:$H$14,MATCH(G498,Reference_Lists!$G$13:$G$14,0)),"UNMATCHED")</f>
        <v>15</v>
      </c>
      <c r="O498" s="35" t="b">
        <f aca="false">IF(AND(J498="Closed",ISNUMBER(M498),ISNUMBER(N498),M498&gt;=0),M498&lt;=N498,"NOT ASSESSED")</f>
        <v>1</v>
      </c>
      <c r="P498" s="36" t="str">
        <f aca="false">Raw_Data!A516</f>
        <v>CFM-2026-0094</v>
      </c>
      <c r="Q498" s="37" t="str">
        <f aca="false">IFERROR(IF(OR($A498="",$P498=""),"MISSING ID",IF(EXACT($A498,$P498),"ALIGNED","MISMATCH")),"CHECK")</f>
        <v>ALIGNED</v>
      </c>
    </row>
    <row r="499" customFormat="false" ht="19.5" hidden="false" customHeight="true" outlineLevel="0" collapsed="false">
      <c r="A499" s="29" t="s">
        <v>627</v>
      </c>
      <c r="B499" s="30" t="n">
        <f aca="false">IF(Raw_Data!B517="","",IF(ISTEXT(Raw_Data!B517),IFERROR(DATE(VALUE(RIGHT(TRIM(Raw_Data!B517),4)),VALUE(MID(TRIM(Raw_Data!B517),4,2)),VALUE(LEFT(TRIM(Raw_Data!B517),2))),"CHECK"),Raw_Data!B517))</f>
        <v>46067</v>
      </c>
      <c r="C499" s="31" t="str">
        <f aca="false">IFERROR(INDEX(Reference_Lists!$C$23:$C$35,MATCH(PROPER(TRIM(Raw_Data!C517)),Reference_Lists!$B$23:$B$35,0)),"UNMATCHED")</f>
        <v>Suggestion Box</v>
      </c>
      <c r="D499" s="31" t="str">
        <f aca="false">IFERROR(INDEX(Reference_Lists!$C$36:$C$50,MATCH(PROPER(TRIM(Raw_Data!D517)),Reference_Lists!$B$36:$B$50,0)),"UNMATCHED")</f>
        <v>Deir al-Balah</v>
      </c>
      <c r="E499" s="31" t="str">
        <f aca="false">IF(Raw_Data!E517="","",Raw_Data!E517)</f>
        <v>Food Security</v>
      </c>
      <c r="F499" s="31" t="str">
        <f aca="false">IF(Raw_Data!F517="","",Raw_Data!F517)</f>
        <v>Request for Information</v>
      </c>
      <c r="G499" s="32" t="str">
        <f aca="false">IF(Raw_Data!G517="","",Raw_Data!G517)</f>
        <v>Non-Sensitive</v>
      </c>
      <c r="H499" s="32" t="str">
        <f aca="false">IFERROR(INDEX(Reference_Lists!$C$51:$C$57,MATCH(PROPER(TRIM(Raw_Data!H517)),Reference_Lists!$B$51:$B$57,0)),"UNMATCHED")</f>
        <v>Male</v>
      </c>
      <c r="I499" s="32" t="str">
        <f aca="false">IF(Raw_Data!I517="","",Raw_Data!I517)</f>
        <v>30-44</v>
      </c>
      <c r="J499" s="32" t="str">
        <f aca="false">IFERROR(INDEX(Reference_Lists!$C$58:$C$65,MATCH(PROPER(TRIM(Raw_Data!J517)),Reference_Lists!$B$58:$B$65,0)),"UNMATCHED")</f>
        <v>In Progress</v>
      </c>
      <c r="K499" s="30" t="str">
        <f aca="false">IF(Raw_Data!K517="","",IF(ISTEXT(Raw_Data!K517),IFERROR(DATE(VALUE(RIGHT(TRIM(Raw_Data!K517),4)),VALUE(MID(TRIM(Raw_Data!K517),4,2)),VALUE(LEFT(TRIM(Raw_Data!K517),2))),"CHECK"),Raw_Data!K517))</f>
        <v/>
      </c>
      <c r="L499" s="33" t="str">
        <f aca="false">IF(Raw_Data!L517="","",Raw_Data!L517)</f>
        <v>Distribution point is far and transport cost is high for our family.</v>
      </c>
      <c r="M499" s="34" t="str">
        <f aca="false">IF(OR(B499="",K499=""),"",IFERROR(K499-B499,"CHECK"))</f>
        <v/>
      </c>
      <c r="N499" s="34" t="n">
        <f aca="false">IFERROR(INDEX(Reference_Lists!$H$13:$H$14,MATCH(G499,Reference_Lists!$G$13:$G$14,0)),"UNMATCHED")</f>
        <v>15</v>
      </c>
      <c r="O499" s="32" t="str">
        <f aca="false">IF(AND(J499="Closed",ISNUMBER(M499),ISNUMBER(N499),M499&gt;=0),M499&lt;=N499,"NOT ASSESSED")</f>
        <v>NOT ASSESSED</v>
      </c>
      <c r="P499" s="36" t="str">
        <f aca="false">Raw_Data!A517</f>
        <v>CFM-2026-0433</v>
      </c>
      <c r="Q499" s="37" t="str">
        <f aca="false">IFERROR(IF(OR($A499="",$P499=""),"MISSING ID",IF(EXACT($A499,$P499),"ALIGNED","MISMATCH")),"CHECK")</f>
        <v>ALIGNED</v>
      </c>
    </row>
    <row r="500" customFormat="false" ht="19.5" hidden="false" customHeight="true" outlineLevel="0" collapsed="false">
      <c r="A500" s="29" t="s">
        <v>628</v>
      </c>
      <c r="B500" s="30" t="n">
        <f aca="false">IF(Raw_Data!B518="","",IF(ISTEXT(Raw_Data!B518),IFERROR(DATE(VALUE(RIGHT(TRIM(Raw_Data!B518),4)),VALUE(MID(TRIM(Raw_Data!B518),4,2)),VALUE(LEFT(TRIM(Raw_Data!B518),2))),"CHECK"),Raw_Data!B518))</f>
        <v>46223</v>
      </c>
      <c r="C500" s="31" t="str">
        <f aca="false">IFERROR(INDEX(Reference_Lists!$C$23:$C$35,MATCH(PROPER(TRIM(Raw_Data!C518)),Reference_Lists!$B$23:$B$35,0)),"UNMATCHED")</f>
        <v>Phone Hotline</v>
      </c>
      <c r="D500" s="31" t="str">
        <f aca="false">IFERROR(INDEX(Reference_Lists!$C$36:$C$50,MATCH(PROPER(TRIM(Raw_Data!D518)),Reference_Lists!$B$36:$B$50,0)),"UNMATCHED")</f>
        <v>Khan Yunis</v>
      </c>
      <c r="E500" s="31" t="str">
        <f aca="false">IF(Raw_Data!E518="","",Raw_Data!E518)</f>
        <v>Health</v>
      </c>
      <c r="F500" s="31" t="str">
        <f aca="false">IF(Raw_Data!F518="","",Raw_Data!F518)</f>
        <v>Sensitive Complaint</v>
      </c>
      <c r="G500" s="32" t="str">
        <f aca="false">IF(Raw_Data!G518="","",Raw_Data!G518)</f>
        <v>Sensitive</v>
      </c>
      <c r="H500" s="32" t="str">
        <f aca="false">IFERROR(INDEX(Reference_Lists!$C$51:$C$57,MATCH(PROPER(TRIM(Raw_Data!H518)),Reference_Lists!$B$51:$B$57,0)),"UNMATCHED")</f>
        <v>Female</v>
      </c>
      <c r="I500" s="32" t="str">
        <f aca="false">IF(Raw_Data!I518="","",Raw_Data!I518)</f>
        <v>30-44</v>
      </c>
      <c r="J500" s="32" t="str">
        <f aca="false">IFERROR(INDEX(Reference_Lists!$C$58:$C$65,MATCH(PROPER(TRIM(Raw_Data!J518)),Reference_Lists!$B$58:$B$65,0)),"UNMATCHED")</f>
        <v>Closed</v>
      </c>
      <c r="K500" s="30" t="n">
        <f aca="false">IF(Raw_Data!K518="","",IF(ISTEXT(Raw_Data!K518),IFERROR(DATE(VALUE(RIGHT(TRIM(Raw_Data!K518),4)),VALUE(MID(TRIM(Raw_Data!K518),4,2)),VALUE(LEFT(TRIM(Raw_Data!K518),2))),"CHECK"),Raw_Data!K518))</f>
        <v>46241</v>
      </c>
      <c r="L500" s="33" t="str">
        <f aca="false">IF(Raw_Data!L518="","",Raw_Data!L518)</f>
        <v>Sensitive case - details recorded separately by the focal point; not stored in this tracker.</v>
      </c>
      <c r="M500" s="34" t="n">
        <f aca="false">IF(OR(B500="",K500=""),"",IFERROR(K500-B500,"CHECK"))</f>
        <v>18</v>
      </c>
      <c r="N500" s="34" t="n">
        <f aca="false">IFERROR(INDEX(Reference_Lists!$H$13:$H$14,MATCH(G500,Reference_Lists!$G$13:$G$14,0)),"UNMATCHED")</f>
        <v>3</v>
      </c>
      <c r="O500" s="35" t="b">
        <f aca="false">IF(AND(J500="Closed",ISNUMBER(M500),ISNUMBER(N500),M500&gt;=0),M500&lt;=N500,"NOT ASSESSED")</f>
        <v>0</v>
      </c>
      <c r="P500" s="36" t="str">
        <f aca="false">Raw_Data!A518</f>
        <v>CFM-2026-0474</v>
      </c>
      <c r="Q500" s="37" t="str">
        <f aca="false">IFERROR(IF(OR($A500="",$P500=""),"MISSING ID",IF(EXACT($A500,$P500),"ALIGNED","MISMATCH")),"CHECK")</f>
        <v>ALIGNED</v>
      </c>
    </row>
    <row r="501" customFormat="false" ht="19.5" hidden="false" customHeight="true" outlineLevel="0" collapsed="false">
      <c r="A501" s="29" t="s">
        <v>629</v>
      </c>
      <c r="B501" s="30" t="n">
        <f aca="false">IF(Raw_Data!B519="","",IF(ISTEXT(Raw_Data!B519),IFERROR(DATE(VALUE(RIGHT(TRIM(Raw_Data!B519),4)),VALUE(MID(TRIM(Raw_Data!B519),4,2)),VALUE(LEFT(TRIM(Raw_Data!B519),2))),"CHECK"),Raw_Data!B519))</f>
        <v>46126</v>
      </c>
      <c r="C501" s="31" t="str">
        <f aca="false">IFERROR(INDEX(Reference_Lists!$C$23:$C$35,MATCH(PROPER(TRIM(Raw_Data!C519)),Reference_Lists!$B$23:$B$35,0)),"UNMATCHED")</f>
        <v>In-Person at Distribution</v>
      </c>
      <c r="D501" s="31" t="str">
        <f aca="false">IFERROR(INDEX(Reference_Lists!$C$36:$C$50,MATCH(PROPER(TRIM(Raw_Data!D519)),Reference_Lists!$B$36:$B$50,0)),"UNMATCHED")</f>
        <v>Nuseirat</v>
      </c>
      <c r="E501" s="31" t="str">
        <f aca="false">IF(Raw_Data!E519="","",Raw_Data!E519)</f>
        <v>Food Security</v>
      </c>
      <c r="F501" s="31" t="str">
        <f aca="false">IF(Raw_Data!F519="","",Raw_Data!F519)</f>
        <v>Request for Information</v>
      </c>
      <c r="G501" s="32" t="str">
        <f aca="false">IF(Raw_Data!G519="","",Raw_Data!G519)</f>
        <v>Non-Sensitive</v>
      </c>
      <c r="H501" s="32" t="str">
        <f aca="false">IFERROR(INDEX(Reference_Lists!$C$51:$C$57,MATCH(PROPER(TRIM(Raw_Data!H519)),Reference_Lists!$B$51:$B$57,0)),"UNMATCHED")</f>
        <v>Female</v>
      </c>
      <c r="I501" s="32" t="str">
        <f aca="false">IF(Raw_Data!I519="","",Raw_Data!I519)</f>
        <v>60+</v>
      </c>
      <c r="J501" s="32" t="str">
        <f aca="false">IFERROR(INDEX(Reference_Lists!$C$58:$C$65,MATCH(PROPER(TRIM(Raw_Data!J519)),Reference_Lists!$B$58:$B$65,0)),"UNMATCHED")</f>
        <v>Closed</v>
      </c>
      <c r="K501" s="30" t="n">
        <f aca="false">IF(Raw_Data!K519="","",IF(ISTEXT(Raw_Data!K519),IFERROR(DATE(VALUE(RIGHT(TRIM(Raw_Data!K519),4)),VALUE(MID(TRIM(Raw_Data!K519),4,2)),VALUE(LEFT(TRIM(Raw_Data!K519),2))),"CHECK"),Raw_Data!K519))</f>
        <v>46118</v>
      </c>
      <c r="L501" s="33" t="str">
        <f aca="false">IF(Raw_Data!L519="","",Raw_Data!L519)</f>
        <v>Thanking the team for organising the last distribution well.</v>
      </c>
      <c r="M501" s="34" t="n">
        <f aca="false">IF(OR(B501="",K501=""),"",IFERROR(K501-B501,"CHECK"))</f>
        <v>-8</v>
      </c>
      <c r="N501" s="34" t="n">
        <f aca="false">IFERROR(INDEX(Reference_Lists!$H$13:$H$14,MATCH(G501,Reference_Lists!$G$13:$G$14,0)),"UNMATCHED")</f>
        <v>15</v>
      </c>
      <c r="O501" s="32" t="str">
        <f aca="false">IF(AND(J501="Closed",ISNUMBER(M501),ISNUMBER(N501),M501&gt;=0),M501&lt;=N501,"NOT ASSESSED")</f>
        <v>NOT ASSESSED</v>
      </c>
      <c r="P501" s="36" t="str">
        <f aca="false">Raw_Data!A519</f>
        <v>CFM-2026-0137</v>
      </c>
      <c r="Q501" s="37" t="str">
        <f aca="false">IFERROR(IF(OR($A501="",$P501=""),"MISSING ID",IF(EXACT($A501,$P501),"ALIGNED","MISMATCH")),"CHECK")</f>
        <v>ALIGNED</v>
      </c>
    </row>
  </sheetData>
  <conditionalFormatting sqref="C2:D501">
    <cfRule type="containsText" priority="2" operator="containsText" aboveAverage="0" equalAverage="0" bottom="0" percent="0" rank="0" text="UNMATCHED" dxfId="19">
      <formula>NOT(ISERROR(SEARCH("UNMATCHED",C2)))</formula>
    </cfRule>
  </conditionalFormatting>
  <conditionalFormatting sqref="H2:J501">
    <cfRule type="containsText" priority="3" operator="containsText" aboveAverage="0" equalAverage="0" bottom="0" percent="0" rank="0" text="UNMATCHED" dxfId="19">
      <formula>NOT(ISERROR(SEARCH("UNMATCHED",H2)))</formula>
    </cfRule>
  </conditionalFormatting>
  <conditionalFormatting sqref="N2:N501">
    <cfRule type="containsText" priority="4" operator="containsText" aboveAverage="0" equalAverage="0" bottom="0" percent="0" rank="0" text="UNMATCHED" dxfId="19">
      <formula>NOT(ISERROR(SEARCH("UNMATCHED",N2)))</formula>
    </cfRule>
    <cfRule type="cellIs" priority="5" operator="equal" aboveAverage="0" equalAverage="0" bottom="0" percent="0" rank="0" text="" dxfId="2">
      <formula>"UNMATCHED"</formula>
    </cfRule>
  </conditionalFormatting>
  <conditionalFormatting sqref="M2:M501">
    <cfRule type="cellIs" priority="6" operator="lessThan" aboveAverage="0" equalAverage="0" bottom="0" percent="0" rank="0" text="" dxfId="19">
      <formula>0</formula>
    </cfRule>
    <cfRule type="containsText" priority="7" operator="containsText" aboveAverage="0" equalAverage="0" bottom="0" percent="0" rank="0" text="CHECK" dxfId="19">
      <formula>NOT(ISERROR(SEARCH("CHECK",M2)))</formula>
    </cfRule>
    <cfRule type="expression" priority="8" aboveAverage="0" equalAverage="0" bottom="0" percent="0" rank="0" text="" dxfId="0">
      <formula>AND(ISNUMBER($M2),$M2&lt;0)</formula>
    </cfRule>
  </conditionalFormatting>
  <conditionalFormatting sqref="O2:O501">
    <cfRule type="expression" priority="9" aboveAverage="0" equalAverage="0" bottom="0" percent="0" rank="0" text="" dxfId="20">
      <formula>$O2=1</formula>
    </cfRule>
    <cfRule type="expression" priority="10" aboveAverage="0" equalAverage="0" bottom="0" percent="0" rank="0" text="" dxfId="21">
      <formula>$O2=0</formula>
    </cfRule>
    <cfRule type="containsText" priority="11" operator="containsText" aboveAverage="0" equalAverage="0" bottom="0" percent="0" rank="0" text="NOT ASSESSED" dxfId="6">
      <formula>NOT(ISERROR(SEARCH("NOT ASSESSED",O2)))</formula>
    </cfRule>
  </conditionalFormatting>
  <conditionalFormatting sqref="Q2:Q501">
    <cfRule type="cellIs" priority="12" operator="equal" aboveAverage="0" equalAverage="0" bottom="0" percent="0" rank="0" text="" dxfId="0">
      <formula>"MISMATCH"</formula>
    </cfRule>
    <cfRule type="cellIs" priority="13" operator="equal" aboveAverage="0" equalAverage="0" bottom="0" percent="0" rank="0" text="" dxfId="1">
      <formula>"ALIGNED"</formula>
    </cfRule>
    <cfRule type="expression" priority="14" aboveAverage="0" equalAverage="0" bottom="0" percent="0" rank="0" text="" dxfId="2">
      <formula>AND($Q2&lt;&gt;"ALIGNED",$Q2&lt;&gt;"MISMATCH",$Q2&lt;&gt;"")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2026-08-25T16:34:28Z</dcterms:created>
  <dc:creator/>
  <dc:description/>
  <dc:language>en-US</dc:language>
  <cp:lastModifiedBy>B .</cp:lastModifiedBy>
  <dcterms:modified xsi:type="dcterms:W3CDTF">2026-08-25T16:34:28Z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